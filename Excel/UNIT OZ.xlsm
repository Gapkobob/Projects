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pkobob\Downloads\Documents\"/>
    </mc:Choice>
  </mc:AlternateContent>
  <xr:revisionPtr revIDLastSave="0" documentId="13_ncr:1_{74A5FE9C-ADCC-4C37-975F-B6322DFEE155}" xr6:coauthVersionLast="47" xr6:coauthVersionMax="47" xr10:uidLastSave="{00000000-0000-0000-0000-000000000000}"/>
  <bookViews>
    <workbookView xWindow="-108" yWindow="-108" windowWidth="30936" windowHeight="16776" tabRatio="350" activeTab="2" xr2:uid="{00000000-000D-0000-FFFF-FFFF00000000}"/>
  </bookViews>
  <sheets>
    <sheet name="Товары и цены" sheetId="2" r:id="rId1"/>
    <sheet name="Логистика" sheetId="4" r:id="rId2"/>
    <sheet name="Прайс" sheetId="5" r:id="rId3"/>
  </sheets>
  <definedNames>
    <definedName name="_xlnm._FilterDatabase" localSheetId="0" hidden="1">'Товары и цены'!$A$3:$U$4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K4" i="2"/>
  <c r="L4" i="2"/>
  <c r="U4" i="2" a="1"/>
  <c r="U4" i="2" s="1"/>
  <c r="F2" i="5" l="1"/>
  <c r="E2" i="5"/>
  <c r="D2" i="5"/>
  <c r="A2" i="5"/>
  <c r="M4" i="2" l="1"/>
  <c r="O4" i="2"/>
  <c r="P4" i="2"/>
  <c r="N4" i="2"/>
  <c r="G2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<sst xmlns="http://schemas.openxmlformats.org/spreadsheetml/2006/main" count="41" uniqueCount="39">
  <si>
    <t>Артикул</t>
  </si>
  <si>
    <t>Ozon SKU ID</t>
  </si>
  <si>
    <t>Название</t>
  </si>
  <si>
    <t>Объемный вес, кг</t>
  </si>
  <si>
    <t>Размер комиссии, %</t>
  </si>
  <si>
    <t>НДС, %</t>
  </si>
  <si>
    <t>Не облагается</t>
  </si>
  <si>
    <t>28271NP</t>
  </si>
  <si>
    <t>Артикул Лев</t>
  </si>
  <si>
    <t>Доп Фильтр</t>
  </si>
  <si>
    <t>Арт лев</t>
  </si>
  <si>
    <t>Арт</t>
  </si>
  <si>
    <t>прайс</t>
  </si>
  <si>
    <t>Логистика</t>
  </si>
  <si>
    <t>Прайс 10</t>
  </si>
  <si>
    <t>Прайс 20</t>
  </si>
  <si>
    <t>Прайс 30</t>
  </si>
  <si>
    <t>Прайсы</t>
  </si>
  <si>
    <t>Мин Цена</t>
  </si>
  <si>
    <t>Мах Цена</t>
  </si>
  <si>
    <t>Перед вставкой из ОЗОН, поставить сортировку по возрастанию на Ozon SKU ID в 2ух документах !</t>
  </si>
  <si>
    <t>Минимальная цена, руб.</t>
  </si>
  <si>
    <t>Цена до скидки, руб.</t>
  </si>
  <si>
    <t>Прайс 0</t>
  </si>
  <si>
    <t>Доставка</t>
  </si>
  <si>
    <t>Миля</t>
  </si>
  <si>
    <t>Основные</t>
  </si>
  <si>
    <t>Комиссии и тарифы для текущей цены</t>
  </si>
  <si>
    <t>Объем товара, л</t>
  </si>
  <si>
    <t>Приемка</t>
  </si>
  <si>
    <t>Хранение 30 дней</t>
  </si>
  <si>
    <t>Короб</t>
  </si>
  <si>
    <t>&lt;= 5л</t>
  </si>
  <si>
    <t>&gt; 5л</t>
  </si>
  <si>
    <t>Эквайринг</t>
  </si>
  <si>
    <t>БасКар</t>
  </si>
  <si>
    <t>&gt;350</t>
  </si>
  <si>
    <t>Наименование товара</t>
  </si>
  <si>
    <t>Бассейн каркасный Intex 260х160х65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</si>
</sst>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₽&quot;_-;\-* #,##0.00\ &quot;₽&quot;_-;_-* &quot;-&quot;??\ &quot;₽&quot;_-;_-@_-"/>
    <numFmt numFmtId="166" formatCode="0.0%"/>
    <numFmt numFmtId="167" formatCode="0.0"/>
  </numFmts>
  <fonts count="25" x14ac:knownFonts="1">
    <font>
      <sz val="12"/>
      <name val="Verdana"/>
    </font>
    <font>
      <b/>
      <sz val="16"/>
      <color rgb="FFFFFFFF"/>
      <name val="Calibri"/>
      <family val="2"/>
      <charset val="204"/>
    </font>
    <font>
      <b/>
      <sz val="14"/>
      <color rgb="FFFFFFFF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b/>
      <sz val="11"/>
      <color rgb="FFFA7D00"/>
      <name val="Arial"/>
      <family val="2"/>
      <charset val="204"/>
      <scheme val="minor"/>
    </font>
    <font>
      <sz val="11"/>
      <color theme="1"/>
      <name val="Arial"/>
      <family val="2"/>
      <scheme val="minor"/>
    </font>
    <font>
      <sz val="8"/>
      <name val="Arial"/>
      <family val="2"/>
      <charset val="204"/>
    </font>
    <font>
      <sz val="11"/>
      <color indexed="8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11"/>
      <color rgb="FF000000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2"/>
      <name val="Verdana"/>
      <family val="2"/>
      <charset val="204"/>
    </font>
    <font>
      <sz val="10"/>
      <name val="Verdana"/>
      <family val="2"/>
      <charset val="204"/>
    </font>
    <font>
      <sz val="8"/>
      <name val="Verdana"/>
      <family val="2"/>
      <charset val="204"/>
    </font>
    <font>
      <b/>
      <sz val="10"/>
      <color rgb="FFFFFFFF"/>
      <name val="Calibri"/>
      <family val="2"/>
      <charset val="204"/>
    </font>
    <font>
      <b/>
      <sz val="10"/>
      <color rgb="FFFFFFFF"/>
      <name val="Verdana"/>
      <family val="2"/>
      <charset val="204"/>
    </font>
    <font>
      <b/>
      <sz val="10"/>
      <color rgb="FF000000"/>
      <name val="Verdana"/>
      <family val="2"/>
      <charset val="204"/>
    </font>
    <font>
      <sz val="10"/>
      <color rgb="FF000000"/>
      <name val="Verdana"/>
      <family val="2"/>
      <charset val="204"/>
    </font>
    <font>
      <b/>
      <sz val="11"/>
      <name val="Times New Roman"/>
      <family val="1"/>
      <charset val="204"/>
    </font>
    <font>
      <sz val="10"/>
      <color rgb="FF000000"/>
      <name val="Arial"/>
      <family val="2"/>
      <charset val="204"/>
      <scheme val="minor"/>
    </font>
    <font>
      <sz val="12"/>
      <color rgb="FF000000"/>
      <name val="Verdana"/>
      <family val="2"/>
    </font>
    <font>
      <b/>
      <sz val="11"/>
      <color rgb="FFFA7D0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A4A4A4"/>
        <bgColor rgb="FFA4A4A4"/>
      </patternFill>
    </fill>
    <fill>
      <patternFill patternType="solid">
        <fgColor rgb="FFF2F2F2"/>
        <bgColor rgb="FFF2F2F2"/>
      </patternFill>
    </fill>
    <fill>
      <patternFill patternType="solid">
        <fgColor rgb="FFF2F2F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A4A4A4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4">
    <xf numFmtId="0" fontId="0" fillId="0" borderId="0"/>
    <xf numFmtId="0" fontId="5" fillId="4" borderId="3" applyNumberFormat="0" applyAlignment="0" applyProtection="0"/>
    <xf numFmtId="0" fontId="6" fillId="0" borderId="0"/>
    <xf numFmtId="164" fontId="6" fillId="0" borderId="0" applyFont="0" applyFill="0" applyBorder="0" applyAlignment="0" applyProtection="0"/>
  </cellStyleXfs>
  <cellXfs count="75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6" fillId="0" borderId="0" xfId="2"/>
    <xf numFmtId="0" fontId="7" fillId="0" borderId="0" xfId="2" applyFont="1" applyAlignment="1">
      <alignment horizontal="center"/>
    </xf>
    <xf numFmtId="0" fontId="8" fillId="0" borderId="0" xfId="2" applyFont="1" applyAlignment="1">
      <alignment horizontal="right"/>
    </xf>
    <xf numFmtId="0" fontId="9" fillId="0" borderId="0" xfId="2" applyFont="1"/>
    <xf numFmtId="0" fontId="10" fillId="0" borderId="0" xfId="2" applyFont="1"/>
    <xf numFmtId="9" fontId="3" fillId="3" borderId="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3" fillId="3" borderId="4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4" fillId="6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vertical="center"/>
    </xf>
    <xf numFmtId="9" fontId="3" fillId="3" borderId="0" xfId="0" applyNumberFormat="1" applyFont="1" applyFill="1" applyAlignment="1">
      <alignment horizontal="center" vertical="center" wrapText="1"/>
    </xf>
    <xf numFmtId="1" fontId="6" fillId="0" borderId="0" xfId="2" applyNumberFormat="1"/>
    <xf numFmtId="166" fontId="0" fillId="0" borderId="0" xfId="0" applyNumberFormat="1"/>
    <xf numFmtId="0" fontId="3" fillId="3" borderId="4" xfId="0" applyFont="1" applyFill="1" applyBorder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/>
    </xf>
    <xf numFmtId="167" fontId="8" fillId="0" borderId="0" xfId="2" applyNumberFormat="1" applyFont="1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center"/>
    </xf>
    <xf numFmtId="0" fontId="19" fillId="3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0" fillId="7" borderId="0" xfId="0" applyFill="1"/>
    <xf numFmtId="9" fontId="3" fillId="9" borderId="4" xfId="0" applyNumberFormat="1" applyFont="1" applyFill="1" applyBorder="1" applyAlignment="1">
      <alignment horizontal="center" vertical="center" wrapText="1"/>
    </xf>
    <xf numFmtId="167" fontId="11" fillId="10" borderId="6" xfId="0" applyNumberFormat="1" applyFont="1" applyFill="1" applyBorder="1" applyAlignment="1">
      <alignment horizontal="center" vertical="center" wrapText="1"/>
    </xf>
    <xf numFmtId="167" fontId="11" fillId="10" borderId="2" xfId="0" applyNumberFormat="1" applyFont="1" applyFill="1" applyBorder="1" applyAlignment="1">
      <alignment horizontal="center" vertical="center" wrapText="1"/>
    </xf>
    <xf numFmtId="167" fontId="11" fillId="10" borderId="14" xfId="0" applyNumberFormat="1" applyFont="1" applyFill="1" applyBorder="1" applyAlignment="1">
      <alignment horizontal="center" vertical="center" wrapText="1"/>
    </xf>
    <xf numFmtId="0" fontId="11" fillId="5" borderId="16" xfId="0" applyFont="1" applyFill="1" applyBorder="1"/>
    <xf numFmtId="0" fontId="21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11" fillId="5" borderId="21" xfId="0" applyFont="1" applyFill="1" applyBorder="1"/>
    <xf numFmtId="0" fontId="21" fillId="0" borderId="22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24" xfId="0" applyBorder="1"/>
    <xf numFmtId="0" fontId="11" fillId="0" borderId="0" xfId="0" applyFont="1"/>
    <xf numFmtId="0" fontId="13" fillId="0" borderId="0" xfId="0" applyFont="1"/>
    <xf numFmtId="0" fontId="22" fillId="0" borderId="0" xfId="0" applyFont="1"/>
    <xf numFmtId="0" fontId="0" fillId="0" borderId="0" xfId="0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5" borderId="26" xfId="0" applyFont="1" applyFill="1" applyBorder="1"/>
    <xf numFmtId="0" fontId="21" fillId="0" borderId="0" xfId="0" applyFont="1" applyAlignment="1">
      <alignment horizontal="center"/>
    </xf>
    <xf numFmtId="0" fontId="21" fillId="0" borderId="27" xfId="0" applyFont="1" applyBorder="1" applyAlignment="1">
      <alignment horizontal="center"/>
    </xf>
    <xf numFmtId="0" fontId="0" fillId="0" borderId="0" xfId="0" applyAlignment="1">
      <alignment horizontal="center"/>
    </xf>
    <xf numFmtId="167" fontId="6" fillId="0" borderId="0" xfId="2" applyNumberFormat="1"/>
    <xf numFmtId="38" fontId="6" fillId="0" borderId="0" xfId="2" applyNumberFormat="1"/>
    <xf numFmtId="0" fontId="3" fillId="3" borderId="1" xfId="0" applyFont="1" applyFill="1" applyBorder="1" applyAlignment="1">
      <alignment horizontal="center" wrapText="1"/>
    </xf>
    <xf numFmtId="0" fontId="14" fillId="5" borderId="0" xfId="0" applyFont="1" applyFill="1" applyAlignment="1">
      <alignment horizontal="center"/>
    </xf>
    <xf numFmtId="0" fontId="24" fillId="4" borderId="3" xfId="1" applyFont="1" applyAlignment="1">
      <alignment horizontal="center"/>
    </xf>
    <xf numFmtId="0" fontId="24" fillId="4" borderId="3" xfId="1" applyFont="1" applyAlignment="1">
      <alignment horizontal="center" vertical="center"/>
    </xf>
    <xf numFmtId="167" fontId="24" fillId="4" borderId="3" xfId="1" applyNumberFormat="1" applyFont="1" applyAlignment="1">
      <alignment horizontal="center" vertical="center"/>
    </xf>
    <xf numFmtId="9" fontId="24" fillId="4" borderId="3" xfId="1" applyNumberFormat="1" applyFont="1" applyAlignment="1">
      <alignment horizontal="center"/>
    </xf>
    <xf numFmtId="167" fontId="24" fillId="4" borderId="3" xfId="1" applyNumberFormat="1" applyFont="1"/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10" borderId="15" xfId="0" applyFont="1" applyFill="1" applyBorder="1" applyAlignment="1">
      <alignment horizontal="center" vertical="center"/>
    </xf>
    <xf numFmtId="0" fontId="11" fillId="10" borderId="20" xfId="0" applyFont="1" applyFill="1" applyBorder="1" applyAlignment="1">
      <alignment horizontal="center" vertical="center"/>
    </xf>
  </cellXfs>
  <cellStyles count="4">
    <cellStyle name="Calculation" xfId="1" builtinId="22"/>
    <cellStyle name="Normal" xfId="0" builtinId="0"/>
    <cellStyle name="Денежный 2" xfId="3" xr:uid="{40E7817B-4D87-4567-8E7B-465B93F63F3E}"/>
    <cellStyle name="Обычный 2" xfId="2" xr:uid="{582F0ED6-4CFE-4CA4-817F-3255E5FDA8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</xdr:colOff>
          <xdr:row>0</xdr:row>
          <xdr:rowOff>0</xdr:rowOff>
        </xdr:from>
        <xdr:to>
          <xdr:col>18</xdr:col>
          <xdr:colOff>22860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Расчет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Расчет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Расчет 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0</xdr:row>
          <xdr:rowOff>22860</xdr:rowOff>
        </xdr:from>
        <xdr:to>
          <xdr:col>17</xdr:col>
          <xdr:colOff>0</xdr:colOff>
          <xdr:row>1</xdr:row>
          <xdr:rowOff>8965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Расчет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U5"/>
  <sheetViews>
    <sheetView zoomScale="85" zoomScaleNormal="85"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P13" sqref="P13"/>
    </sheetView>
  </sheetViews>
  <sheetFormatPr defaultRowHeight="16.2" outlineLevelCol="1" x14ac:dyDescent="0.3"/>
  <cols>
    <col min="1" max="1" width="7.4609375" style="12" customWidth="1"/>
    <col min="2" max="2" width="8.23046875" style="47" bestFit="1" customWidth="1"/>
    <col min="3" max="3" width="10.07421875" style="22" customWidth="1"/>
    <col min="4" max="4" width="11.61328125" style="21" bestFit="1" customWidth="1"/>
    <col min="5" max="5" width="49.4609375" style="21" customWidth="1"/>
    <col min="6" max="6" width="9" style="42" customWidth="1"/>
    <col min="7" max="7" width="9.69140625" customWidth="1"/>
    <col min="8" max="8" width="8.69140625" bestFit="1" customWidth="1"/>
    <col min="9" max="9" width="10.765625" customWidth="1"/>
    <col min="10" max="10" width="11.3046875" bestFit="1" customWidth="1"/>
    <col min="11" max="11" width="9.4609375" customWidth="1" outlineLevel="1"/>
    <col min="12" max="12" width="7.23046875" customWidth="1" outlineLevel="1"/>
    <col min="13" max="13" width="9.69140625" style="3" customWidth="1" outlineLevel="1"/>
    <col min="14" max="15" width="8.69140625" style="9" customWidth="1" outlineLevel="1"/>
    <col min="16" max="16" width="8.3046875" style="9" customWidth="1" outlineLevel="1"/>
    <col min="17" max="17" width="9.07421875" style="9" customWidth="1"/>
    <col min="18" max="18" width="9.07421875" customWidth="1"/>
    <col min="19" max="19" width="8.765625" customWidth="1"/>
    <col min="20" max="20" width="9.4609375" style="25" customWidth="1"/>
    <col min="21" max="21" width="10.07421875" customWidth="1"/>
  </cols>
  <sheetData>
    <row r="1" spans="1:21" ht="49.2" thickBot="1" x14ac:dyDescent="0.35">
      <c r="C1" s="60" t="s">
        <v>20</v>
      </c>
      <c r="D1" s="61"/>
      <c r="E1" s="62"/>
      <c r="F1" s="63"/>
      <c r="G1" s="63"/>
      <c r="H1" s="63"/>
      <c r="I1" s="63"/>
      <c r="J1" s="63"/>
      <c r="M1"/>
      <c r="U1" s="13" t="s">
        <v>22</v>
      </c>
    </row>
    <row r="2" spans="1:21" ht="19.2" thickTop="1" thickBot="1" x14ac:dyDescent="0.35">
      <c r="C2" s="68" t="s">
        <v>26</v>
      </c>
      <c r="D2" s="69"/>
      <c r="E2" s="70"/>
      <c r="F2" s="66"/>
      <c r="G2" s="66"/>
      <c r="H2" s="66" t="s">
        <v>27</v>
      </c>
      <c r="I2" s="66"/>
      <c r="J2" s="67"/>
      <c r="K2" s="65" t="s">
        <v>13</v>
      </c>
      <c r="L2" s="66"/>
      <c r="M2" s="64" t="s">
        <v>17</v>
      </c>
      <c r="N2" s="64"/>
      <c r="O2" s="64"/>
      <c r="P2" s="64"/>
      <c r="Q2" s="19"/>
      <c r="R2" s="57" t="s">
        <v>18</v>
      </c>
      <c r="S2" s="58"/>
      <c r="T2" s="59"/>
      <c r="U2" s="14" t="s">
        <v>19</v>
      </c>
    </row>
    <row r="3" spans="1:21" ht="28.8" thickTop="1" thickBot="1" x14ac:dyDescent="0.35">
      <c r="A3" s="11" t="s">
        <v>8</v>
      </c>
      <c r="B3" s="50" t="s">
        <v>9</v>
      </c>
      <c r="C3" s="1" t="s">
        <v>0</v>
      </c>
      <c r="D3" s="1" t="s">
        <v>1</v>
      </c>
      <c r="E3" s="23" t="s">
        <v>2</v>
      </c>
      <c r="F3" s="1" t="s">
        <v>3</v>
      </c>
      <c r="G3" s="1" t="s">
        <v>28</v>
      </c>
      <c r="H3" s="1" t="s">
        <v>5</v>
      </c>
      <c r="I3" s="1" t="s">
        <v>21</v>
      </c>
      <c r="J3" s="1" t="s">
        <v>4</v>
      </c>
      <c r="K3" s="1" t="s">
        <v>24</v>
      </c>
      <c r="L3" s="18" t="s">
        <v>25</v>
      </c>
      <c r="M3" s="10" t="s">
        <v>23</v>
      </c>
      <c r="N3" s="10" t="s">
        <v>14</v>
      </c>
      <c r="O3" s="10" t="s">
        <v>15</v>
      </c>
      <c r="P3" s="10" t="s">
        <v>16</v>
      </c>
      <c r="Q3" s="8">
        <v>0</v>
      </c>
      <c r="R3" s="8">
        <v>0.1</v>
      </c>
      <c r="S3" s="8">
        <v>0.2</v>
      </c>
      <c r="T3" s="26">
        <v>0.3</v>
      </c>
      <c r="U3" s="15"/>
    </row>
    <row r="4" spans="1:21" ht="17.399999999999999" thickTop="1" thickBot="1" x14ac:dyDescent="0.35">
      <c r="A4" s="12" t="str">
        <f t="shared" ref="A4" si="0">LEFT(C4,5)</f>
        <v>28271</v>
      </c>
      <c r="B4" s="51" t="s">
        <v>35</v>
      </c>
      <c r="C4" s="2" t="s">
        <v>7</v>
      </c>
      <c r="D4" s="2"/>
      <c r="E4" s="24" t="s">
        <v>38</v>
      </c>
      <c r="F4" s="2">
        <v>17.399999999999999</v>
      </c>
      <c r="G4" s="2">
        <v>61.55</v>
      </c>
      <c r="H4" s="2" t="s">
        <v>6</v>
      </c>
      <c r="I4" s="2">
        <v>9551</v>
      </c>
      <c r="J4" s="2">
        <v>16</v>
      </c>
      <c r="K4">
        <f>IF(G4&gt;5,Логистика!C$2+(G4-5)*Логистика!C$3,Логистика!C$2)</f>
        <v>584.95000000000005</v>
      </c>
      <c r="L4" s="17">
        <f t="shared" ref="L4" si="1">IF(OR(B4="КГТ",B4="Салют"),0,0.055)</f>
        <v>5.5E-2</v>
      </c>
      <c r="M4" s="16">
        <f>VLOOKUP(A4,Прайс!A:F,3,0)</f>
        <v>6152</v>
      </c>
      <c r="N4" s="9">
        <f>VLOOKUP(A4,Прайс!A:F,4,0)</f>
        <v>6767.2000000000007</v>
      </c>
      <c r="O4" s="9">
        <f>VLOOKUP(A4,Прайс!A:F,5,0)</f>
        <v>7382.4</v>
      </c>
      <c r="P4" s="9">
        <f>VLOOKUP(A4,Прайс!A:F,6,0)</f>
        <v>7997.6</v>
      </c>
      <c r="Q4" s="9">
        <v>9650</v>
      </c>
      <c r="R4">
        <v>9548</v>
      </c>
      <c r="S4">
        <v>10293</v>
      </c>
      <c r="T4" s="25">
        <v>11040</v>
      </c>
      <c r="U4" cm="1">
        <f t="array" ref="U4">_xlfn.IFS(T4/0.8&lt;=1500,ROUNDUP(T4/0.8,-1)+100,T4/0.8&gt;=20000,ROUNDUP(T4/0.8,-3),TRUE,ROUNDUP(T4/0.8,-2))</f>
        <v>13800</v>
      </c>
    </row>
    <row r="5" spans="1:21" ht="16.8" thickTop="1" x14ac:dyDescent="0.3"/>
  </sheetData>
  <autoFilter ref="A3:U4" xr:uid="{00000000-0001-0000-0100-000000000000}">
    <sortState xmlns:xlrd2="http://schemas.microsoft.com/office/spreadsheetml/2017/richdata2" ref="A4:U4">
      <sortCondition descending="1" ref="G3:G4"/>
    </sortState>
  </autoFilter>
  <mergeCells count="6">
    <mergeCell ref="R2:T2"/>
    <mergeCell ref="C1:J1"/>
    <mergeCell ref="M2:P2"/>
    <mergeCell ref="K2:L2"/>
    <mergeCell ref="H2:J2"/>
    <mergeCell ref="C2:G2"/>
  </mergeCells>
  <phoneticPr fontId="16" type="noConversion"/>
  <pageMargins left="0.78749999999999998" right="0.78749999999999998" top="1.05277777777778" bottom="1.05277777777778" header="0.78749999999999998" footer="0.78749999999999998"/>
  <pageSetup paperSize="9" orientation="portrait" useFirstPageNumber="1" horizontalDpi="1200" verticalDpi="1200" r:id="rId1"/>
  <headerFooter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alc0">
                <anchor moveWithCells="1" sizeWithCells="1">
                  <from>
                    <xdr:col>16</xdr:col>
                    <xdr:colOff>7620</xdr:colOff>
                    <xdr:row>0</xdr:row>
                    <xdr:rowOff>22860</xdr:rowOff>
                  </from>
                  <to>
                    <xdr:col>17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10">
                <anchor moveWithCells="1" sizeWithCells="1">
                  <from>
                    <xdr:col>17</xdr:col>
                    <xdr:colOff>22860</xdr:colOff>
                    <xdr:row>0</xdr:row>
                    <xdr:rowOff>0</xdr:rowOff>
                  </from>
                  <to>
                    <xdr:col>18</xdr:col>
                    <xdr:colOff>22860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alc20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Calc30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0CDCC-0E5D-41DC-A246-93B02A57E60B}">
  <sheetPr codeName="Лист3"/>
  <dimension ref="A1:E13"/>
  <sheetViews>
    <sheetView zoomScale="130" zoomScaleNormal="130" workbookViewId="0">
      <selection activeCell="D18" sqref="C18:D19"/>
    </sheetView>
  </sheetViews>
  <sheetFormatPr defaultRowHeight="16.2" x14ac:dyDescent="0.3"/>
  <cols>
    <col min="1" max="1" width="8.3828125" bestFit="1" customWidth="1"/>
    <col min="2" max="2" width="4.23046875" bestFit="1" customWidth="1"/>
    <col min="5" max="5" width="6.3828125" bestFit="1" customWidth="1"/>
  </cols>
  <sheetData>
    <row r="1" spans="1:5" ht="28.2" thickBot="1" x14ac:dyDescent="0.35">
      <c r="A1" s="71"/>
      <c r="B1" s="72"/>
      <c r="C1" s="27" t="s">
        <v>13</v>
      </c>
      <c r="D1" s="28" t="s">
        <v>29</v>
      </c>
      <c r="E1" s="29" t="s">
        <v>30</v>
      </c>
    </row>
    <row r="2" spans="1:5" ht="16.8" thickTop="1" x14ac:dyDescent="0.3">
      <c r="A2" s="73" t="s">
        <v>31</v>
      </c>
      <c r="B2" s="30" t="s">
        <v>32</v>
      </c>
      <c r="C2" s="31">
        <v>76</v>
      </c>
      <c r="D2" s="32">
        <v>30</v>
      </c>
      <c r="E2" s="33"/>
    </row>
    <row r="3" spans="1:5" ht="16.8" thickBot="1" x14ac:dyDescent="0.35">
      <c r="A3" s="74"/>
      <c r="B3" s="34" t="s">
        <v>33</v>
      </c>
      <c r="C3" s="35">
        <v>9</v>
      </c>
      <c r="D3" s="36">
        <v>1.5</v>
      </c>
      <c r="E3" s="37"/>
    </row>
    <row r="4" spans="1:5" ht="17.399999999999999" thickTop="1" thickBot="1" x14ac:dyDescent="0.35">
      <c r="A4" s="43"/>
      <c r="B4" s="44" t="s">
        <v>36</v>
      </c>
      <c r="C4" s="45">
        <v>3181</v>
      </c>
      <c r="D4" s="45"/>
      <c r="E4" s="46"/>
    </row>
    <row r="5" spans="1:5" ht="16.8" thickTop="1" x14ac:dyDescent="0.3">
      <c r="A5" s="38"/>
    </row>
    <row r="6" spans="1:5" x14ac:dyDescent="0.3">
      <c r="A6" s="39" t="s">
        <v>34</v>
      </c>
      <c r="B6" s="40">
        <v>1.5</v>
      </c>
    </row>
    <row r="13" spans="1:5" x14ac:dyDescent="0.3">
      <c r="C13" s="41"/>
    </row>
  </sheetData>
  <mergeCells count="2">
    <mergeCell ref="A1:B1"/>
    <mergeCell ref="A2:A3"/>
  </mergeCells>
  <phoneticPr fontId="16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E490-63F1-4035-A23C-73C23F6B8EF8}">
  <sheetPr codeName="Лист2"/>
  <dimension ref="A1:I2"/>
  <sheetViews>
    <sheetView tabSelected="1" workbookViewId="0">
      <selection activeCell="H17" sqref="H17"/>
    </sheetView>
  </sheetViews>
  <sheetFormatPr defaultColWidth="9.07421875" defaultRowHeight="15" x14ac:dyDescent="0.25"/>
  <cols>
    <col min="1" max="1" width="6.3828125" style="4" bestFit="1" customWidth="1"/>
    <col min="2" max="2" width="8.3046875" style="5" bestFit="1" customWidth="1"/>
    <col min="3" max="3" width="10.07421875" style="20" customWidth="1"/>
    <col min="4" max="5" width="13.23046875" style="6" customWidth="1"/>
    <col min="6" max="6" width="13.23046875" style="7" customWidth="1"/>
    <col min="7" max="7" width="32.07421875" style="48" bestFit="1" customWidth="1"/>
    <col min="8" max="8" width="9.07421875" style="3"/>
    <col min="9" max="9" width="8.07421875" style="49" customWidth="1"/>
    <col min="10" max="16384" width="9.07421875" style="3"/>
  </cols>
  <sheetData>
    <row r="1" spans="1:7" ht="13.8" x14ac:dyDescent="0.25">
      <c r="A1" s="52" t="s">
        <v>10</v>
      </c>
      <c r="B1" s="53" t="s">
        <v>11</v>
      </c>
      <c r="C1" s="54" t="s">
        <v>12</v>
      </c>
      <c r="D1" s="55">
        <v>0.1</v>
      </c>
      <c r="E1" s="55">
        <v>0.2</v>
      </c>
      <c r="F1" s="55">
        <v>0.3</v>
      </c>
      <c r="G1" s="56" t="s">
        <v>37</v>
      </c>
    </row>
    <row r="2" spans="1:7" ht="16.2" x14ac:dyDescent="0.3">
      <c r="A2" t="str">
        <f t="shared" ref="A2" si="0">LEFT(B2,5)</f>
        <v>28271</v>
      </c>
      <c r="B2" t="s">
        <v>7</v>
      </c>
      <c r="C2">
        <v>6152</v>
      </c>
      <c r="D2">
        <f t="shared" ref="D2" si="1">IF(C2&lt;300,C2*1.2,C2*1.1)</f>
        <v>6767.2000000000007</v>
      </c>
      <c r="E2">
        <f t="shared" ref="E2" si="2">IF(C2&lt;300,C2*1.3,C2*1.2)</f>
        <v>7382.4</v>
      </c>
      <c r="F2">
        <f t="shared" ref="F2" si="3">IF(C2&lt;300,C2*1.4,C2*1.3)</f>
        <v>7997.6</v>
      </c>
      <c r="G2" t="str">
        <f>VLOOKUP(A2,'Товары и цены'!A:J,5,0)</f>
        <v>Бассейн каркасный Intex 260х160х65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Товары и цены</vt:lpstr>
      <vt:lpstr>Логистика</vt:lpstr>
      <vt:lpstr>Прайс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Gapkobob</dc:creator>
  <cp:lastModifiedBy>Alexandr Gapich</cp:lastModifiedBy>
  <dcterms:created xsi:type="dcterms:W3CDTF">2023-04-10T21:39:07Z</dcterms:created>
  <dcterms:modified xsi:type="dcterms:W3CDTF">2024-07-12T10:28:03Z</dcterms:modified>
</cp:coreProperties>
</file>