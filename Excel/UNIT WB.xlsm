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pkobob\Downloads\Documents\"/>
    </mc:Choice>
  </mc:AlternateContent>
  <xr:revisionPtr revIDLastSave="0" documentId="13_ncr:1_{B1BD65BB-FAD0-4091-BD69-93AA384584F9}" xr6:coauthVersionLast="47" xr6:coauthVersionMax="47" xr10:uidLastSave="{00000000-0000-0000-0000-000000000000}"/>
  <bookViews>
    <workbookView xWindow="-108" yWindow="-108" windowWidth="30936" windowHeight="16776" tabRatio="658" xr2:uid="{00000000-000D-0000-FFFF-FFFF00000000}"/>
  </bookViews>
  <sheets>
    <sheet name="ЦЕНООБРАЗОВАНИЕ" sheetId="1" r:id="rId1"/>
    <sheet name="Размеры" sheetId="4" r:id="rId2"/>
    <sheet name="Тарифы" sheetId="8" r:id="rId3"/>
    <sheet name="Прайс" sheetId="5" r:id="rId4"/>
  </sheets>
  <externalReferences>
    <externalReference r:id="rId5"/>
    <externalReference r:id="rId6"/>
  </externalReferences>
  <definedNames>
    <definedName name="_xlnm._FilterDatabase" localSheetId="3" hidden="1">Прайс!$A$1:$G$2</definedName>
    <definedName name="_xlnm._FilterDatabase" localSheetId="1" hidden="1">Размеры!$A$1:$P$2</definedName>
    <definedName name="_xlnm._FilterDatabase" localSheetId="0" hidden="1">ЦЕНООБРАЗОВАНИЕ!$A$1:$Q$2</definedName>
    <definedName name="name18">[1]validation!$S$1:$S$8</definedName>
    <definedName name="name23">[1]validation!$X$1:$X$3</definedName>
    <definedName name="name24">[1]validation!$Y$1:$Y$11</definedName>
    <definedName name="name30">[1]validation!$AE$1:$AE$5</definedName>
    <definedName name="name31">[2]validation!$AF$1:$AF$3</definedName>
    <definedName name="name33">[1]validation!$AH$1:$AH$235</definedName>
    <definedName name="name35">[1]validation!$AJ$1:$AJ$64</definedName>
    <definedName name="name37">[2]validation!$AL$1:$AL$5</definedName>
    <definedName name="name6">[1]validation!$G$1:$G$3</definedName>
    <definedName name="name8">[1]validation!$I$1:$I$1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5" l="1"/>
  <c r="E2" i="5"/>
  <c r="D2" i="5"/>
  <c r="A2" i="5"/>
  <c r="M2" i="4" l="1"/>
  <c r="N2" i="4"/>
  <c r="O2" i="4"/>
  <c r="A2" i="1" l="1"/>
  <c r="A2" i="4"/>
  <c r="G2" i="5" l="1"/>
  <c r="I2" i="1"/>
  <c r="J2" i="1"/>
  <c r="K2" i="1"/>
  <c r="L2" i="1"/>
  <c r="M2" i="1"/>
  <c r="P2" i="4" l="1"/>
  <c r="D2" i="1" s="1"/>
  <c r="E2" i="1" s="1"/>
  <c r="G2" i="1" l="1"/>
  <c r="F2" i="1"/>
</calcChain>
</file>

<file path=xl/sharedStrings.xml><?xml version="1.0" encoding="utf-8"?>
<sst xmlns="http://schemas.openxmlformats.org/spreadsheetml/2006/main" count="44" uniqueCount="32">
  <si>
    <t>Название товара</t>
  </si>
  <si>
    <t>Артикул</t>
  </si>
  <si>
    <t>Item#</t>
  </si>
  <si>
    <t>28271NP</t>
  </si>
  <si>
    <t>Case Pack</t>
  </si>
  <si>
    <t>H (cm)</t>
  </si>
  <si>
    <t>W (cm)</t>
  </si>
  <si>
    <t>L (cm)</t>
  </si>
  <si>
    <t>kgs</t>
  </si>
  <si>
    <t>V (л)</t>
  </si>
  <si>
    <t>V</t>
  </si>
  <si>
    <t>Логистика</t>
  </si>
  <si>
    <t>Приемка</t>
  </si>
  <si>
    <t>Хранение 30 дней</t>
  </si>
  <si>
    <t>Арт</t>
  </si>
  <si>
    <t>прайс</t>
  </si>
  <si>
    <t>Короб</t>
  </si>
  <si>
    <t>Прайс 10</t>
  </si>
  <si>
    <t>Прайс 20</t>
  </si>
  <si>
    <t>Прайс 30</t>
  </si>
  <si>
    <t>Прайс 40</t>
  </si>
  <si>
    <t>Лев симв</t>
  </si>
  <si>
    <t>Комиссия WB % + Экв</t>
  </si>
  <si>
    <t>Эквайринг</t>
  </si>
  <si>
    <t>Прайс 0</t>
  </si>
  <si>
    <t>Арт лев</t>
  </si>
  <si>
    <t>1л</t>
  </si>
  <si>
    <t>&gt; 1л</t>
  </si>
  <si>
    <t>Наименование</t>
  </si>
  <si>
    <t>Бассейн каркасный Intex 260х160х65</t>
  </si>
  <si>
    <t>2.6M X 1.6M X 0.65M RECTANGULAR FRAME POOL</t>
  </si>
  <si>
    <t>Item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</si>
</sst>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₽&quot;_-;\-* #,##0.00\ &quot;₽&quot;_-;_-* &quot;-&quot;??\ &quot;₽&quot;_-;_-@_-"/>
    <numFmt numFmtId="165" formatCode="0.0"/>
    <numFmt numFmtId="168" formatCode="0.0%"/>
  </numFmts>
  <fonts count="21" x14ac:knownFonts="1">
    <font>
      <sz val="10"/>
      <color rgb="FF000000"/>
      <name val="Arial"/>
      <scheme val="minor"/>
    </font>
    <font>
      <sz val="10"/>
      <color rgb="FF000000"/>
      <name val="Arial"/>
      <family val="2"/>
      <charset val="204"/>
      <scheme val="minor"/>
    </font>
    <font>
      <sz val="11"/>
      <color rgb="FF000000"/>
      <name val="Calibri"/>
      <family val="2"/>
    </font>
    <font>
      <b/>
      <sz val="1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434343"/>
      <name val="Times New Roman"/>
      <family val="1"/>
      <charset val="204"/>
    </font>
    <font>
      <sz val="11"/>
      <color rgb="FF434343"/>
      <name val="Times New Roman"/>
      <family val="1"/>
      <charset val="204"/>
    </font>
    <font>
      <b/>
      <sz val="10"/>
      <name val="Times New Roman"/>
      <family val="1"/>
    </font>
    <font>
      <sz val="10"/>
      <name val="Times New Roman"/>
      <family val="1"/>
    </font>
    <font>
      <b/>
      <sz val="11"/>
      <color rgb="FFFA7D00"/>
      <name val="Arial"/>
      <family val="2"/>
      <charset val="204"/>
      <scheme val="minor"/>
    </font>
    <font>
      <sz val="11"/>
      <color indexed="8"/>
      <name val="Arial"/>
      <family val="2"/>
      <charset val="204"/>
    </font>
    <font>
      <sz val="8"/>
      <name val="Arial"/>
      <family val="2"/>
      <charset val="204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10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0"/>
      <color rgb="FF000000"/>
      <name val="Times New Roman"/>
      <family val="1"/>
      <charset val="204"/>
    </font>
    <font>
      <sz val="11"/>
      <color theme="1"/>
      <name val="Arial"/>
      <family val="2"/>
      <scheme val="minor"/>
    </font>
    <font>
      <sz val="8"/>
      <name val="Arial"/>
      <family val="2"/>
      <charset val="204"/>
      <scheme val="minor"/>
    </font>
    <font>
      <sz val="8"/>
      <color rgb="FF000000"/>
      <name val="Arial"/>
      <family val="2"/>
      <charset val="204"/>
      <scheme val="minor"/>
    </font>
    <font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6F2FF"/>
        <bgColor rgb="FFF6F2FF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F2F2F2"/>
        <bgColor rgb="FFF2F2F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rgb="FFF6F2FF"/>
      </patternFill>
    </fill>
    <fill>
      <patternFill patternType="solid">
        <fgColor theme="6" tint="0.59999389629810485"/>
        <bgColor rgb="FFF2F2F2"/>
      </patternFill>
    </fill>
    <fill>
      <patternFill patternType="solid">
        <fgColor theme="6" tint="0.59999389629810485"/>
        <bgColor rgb="FFF6F2FF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theme="9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 style="thick">
        <color rgb="FFFFFFFF"/>
      </right>
      <top/>
      <bottom/>
      <diagonal/>
    </border>
  </borders>
  <cellStyleXfs count="4">
    <xf numFmtId="0" fontId="0" fillId="0" borderId="0"/>
    <xf numFmtId="0" fontId="9" fillId="5" borderId="4" applyNumberFormat="0" applyAlignment="0" applyProtection="0"/>
    <xf numFmtId="0" fontId="15" fillId="0" borderId="0"/>
    <xf numFmtId="164" fontId="17" fillId="0" borderId="0" applyFont="0" applyFill="0" applyBorder="0" applyAlignment="0" applyProtection="0"/>
  </cellStyleXfs>
  <cellXfs count="58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165" fontId="0" fillId="0" borderId="0" xfId="0" applyNumberFormat="1"/>
    <xf numFmtId="165" fontId="2" fillId="3" borderId="2" xfId="0" applyNumberFormat="1" applyFont="1" applyFill="1" applyBorder="1" applyAlignment="1">
      <alignment horizontal="center" vertical="center" wrapText="1"/>
    </xf>
    <xf numFmtId="1" fontId="6" fillId="2" borderId="0" xfId="0" applyNumberFormat="1" applyFont="1" applyFill="1" applyAlignment="1">
      <alignment horizontal="center"/>
    </xf>
    <xf numFmtId="1" fontId="4" fillId="0" borderId="0" xfId="0" applyNumberFormat="1" applyFont="1"/>
    <xf numFmtId="0" fontId="7" fillId="0" borderId="3" xfId="0" applyFont="1" applyBorder="1" applyAlignment="1">
      <alignment horizontal="left" vertical="top" wrapText="1"/>
    </xf>
    <xf numFmtId="0" fontId="8" fillId="0" borderId="3" xfId="0" applyFont="1" applyBorder="1" applyAlignment="1">
      <alignment vertical="top" wrapText="1"/>
    </xf>
    <xf numFmtId="0" fontId="7" fillId="4" borderId="3" xfId="0" applyFont="1" applyFill="1" applyBorder="1" applyAlignment="1">
      <alignment horizontal="left" vertical="top" wrapText="1"/>
    </xf>
    <xf numFmtId="0" fontId="8" fillId="4" borderId="3" xfId="0" applyFont="1" applyFill="1" applyBorder="1" applyAlignment="1">
      <alignment vertical="top" wrapText="1"/>
    </xf>
    <xf numFmtId="0" fontId="0" fillId="4" borderId="0" xfId="0" applyFill="1"/>
    <xf numFmtId="0" fontId="7" fillId="4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3" borderId="1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center" vertical="top" wrapText="1"/>
    </xf>
    <xf numFmtId="0" fontId="0" fillId="0" borderId="7" xfId="0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5" fontId="4" fillId="3" borderId="10" xfId="0" applyNumberFormat="1" applyFont="1" applyFill="1" applyBorder="1" applyAlignment="1">
      <alignment horizontal="center" vertical="center" wrapText="1"/>
    </xf>
    <xf numFmtId="165" fontId="4" fillId="3" borderId="2" xfId="0" applyNumberFormat="1" applyFont="1" applyFill="1" applyBorder="1" applyAlignment="1">
      <alignment horizontal="center" vertical="center" wrapText="1"/>
    </xf>
    <xf numFmtId="165" fontId="4" fillId="3" borderId="8" xfId="0" applyNumberFormat="1" applyFont="1" applyFill="1" applyBorder="1" applyAlignment="1">
      <alignment horizontal="center" vertical="center" wrapText="1"/>
    </xf>
    <xf numFmtId="0" fontId="4" fillId="7" borderId="13" xfId="0" applyFont="1" applyFill="1" applyBorder="1"/>
    <xf numFmtId="0" fontId="4" fillId="7" borderId="6" xfId="0" applyFont="1" applyFill="1" applyBorder="1"/>
    <xf numFmtId="1" fontId="14" fillId="6" borderId="17" xfId="0" applyNumberFormat="1" applyFont="1" applyFill="1" applyBorder="1" applyAlignment="1">
      <alignment horizontal="center" vertical="center" wrapText="1"/>
    </xf>
    <xf numFmtId="1" fontId="14" fillId="6" borderId="0" xfId="0" applyNumberFormat="1" applyFont="1" applyFill="1" applyAlignment="1">
      <alignment horizontal="center" vertical="center" wrapText="1"/>
    </xf>
    <xf numFmtId="0" fontId="1" fillId="0" borderId="0" xfId="0" applyFont="1"/>
    <xf numFmtId="0" fontId="15" fillId="0" borderId="0" xfId="2"/>
    <xf numFmtId="0" fontId="16" fillId="0" borderId="0" xfId="0" applyFont="1"/>
    <xf numFmtId="0" fontId="4" fillId="0" borderId="0" xfId="0" applyFont="1"/>
    <xf numFmtId="0" fontId="11" fillId="0" borderId="0" xfId="2" applyFont="1" applyAlignment="1">
      <alignment horizontal="center"/>
    </xf>
    <xf numFmtId="0" fontId="10" fillId="0" borderId="0" xfId="2" applyFont="1" applyAlignment="1">
      <alignment horizontal="right"/>
    </xf>
    <xf numFmtId="0" fontId="12" fillId="0" borderId="0" xfId="2" applyFont="1"/>
    <xf numFmtId="0" fontId="13" fillId="0" borderId="0" xfId="2" applyFont="1"/>
    <xf numFmtId="165" fontId="10" fillId="0" borderId="0" xfId="2" applyNumberFormat="1" applyFont="1" applyAlignment="1">
      <alignment horizontal="right"/>
    </xf>
    <xf numFmtId="1" fontId="4" fillId="0" borderId="0" xfId="0" applyNumberFormat="1" applyFont="1" applyAlignment="1">
      <alignment horizontal="center"/>
    </xf>
    <xf numFmtId="1" fontId="14" fillId="9" borderId="0" xfId="0" applyNumberFormat="1" applyFont="1" applyFill="1" applyAlignment="1">
      <alignment horizontal="center" vertical="center" wrapText="1"/>
    </xf>
    <xf numFmtId="1" fontId="6" fillId="10" borderId="0" xfId="0" applyNumberFormat="1" applyFont="1" applyFill="1" applyAlignment="1">
      <alignment horizontal="center"/>
    </xf>
    <xf numFmtId="1" fontId="4" fillId="11" borderId="0" xfId="0" applyNumberFormat="1" applyFont="1" applyFill="1" applyAlignment="1">
      <alignment horizontal="center"/>
    </xf>
    <xf numFmtId="2" fontId="3" fillId="0" borderId="14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8" fontId="6" fillId="8" borderId="0" xfId="0" applyNumberFormat="1" applyFont="1" applyFill="1" applyAlignment="1">
      <alignment horizontal="center"/>
    </xf>
    <xf numFmtId="0" fontId="2" fillId="3" borderId="1" xfId="0" applyFont="1" applyFill="1" applyBorder="1" applyAlignment="1">
      <alignment horizontal="left" vertical="center" wrapText="1"/>
    </xf>
    <xf numFmtId="165" fontId="15" fillId="0" borderId="0" xfId="2" applyNumberFormat="1"/>
    <xf numFmtId="0" fontId="19" fillId="0" borderId="0" xfId="0" applyFont="1"/>
    <xf numFmtId="38" fontId="15" fillId="0" borderId="0" xfId="2" applyNumberFormat="1"/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8" fontId="5" fillId="12" borderId="2" xfId="0" applyNumberFormat="1" applyFont="1" applyFill="1" applyBorder="1" applyAlignment="1">
      <alignment horizontal="center" vertical="center" wrapText="1"/>
    </xf>
    <xf numFmtId="168" fontId="4" fillId="4" borderId="0" xfId="0" applyNumberFormat="1" applyFont="1" applyFill="1" applyAlignment="1">
      <alignment horizontal="center"/>
    </xf>
    <xf numFmtId="0" fontId="9" fillId="5" borderId="4" xfId="1" applyAlignment="1">
      <alignment horizontal="center"/>
    </xf>
    <xf numFmtId="0" fontId="9" fillId="5" borderId="4" xfId="1" applyAlignment="1">
      <alignment horizontal="center" vertical="center"/>
    </xf>
    <xf numFmtId="165" fontId="9" fillId="5" borderId="4" xfId="1" applyNumberFormat="1" applyAlignment="1">
      <alignment horizontal="center" vertical="center"/>
    </xf>
    <xf numFmtId="9" fontId="9" fillId="5" borderId="4" xfId="1" applyNumberFormat="1" applyAlignment="1">
      <alignment horizontal="center"/>
    </xf>
    <xf numFmtId="165" fontId="9" fillId="5" borderId="4" xfId="1" applyNumberFormat="1"/>
  </cellXfs>
  <cellStyles count="4">
    <cellStyle name="Calculation" xfId="1" builtinId="22"/>
    <cellStyle name="Normal" xfId="0" builtinId="0"/>
    <cellStyle name="Денежный 2" xfId="3" xr:uid="{F51EBF9A-6489-4B93-9F4A-BAC40C97341F}"/>
    <cellStyle name="Обычный 2" xfId="2" xr:uid="{81D47638-DAA2-4D4D-86E0-7919A03A732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0</xdr:row>
          <xdr:rowOff>0</xdr:rowOff>
        </xdr:from>
        <xdr:to>
          <xdr:col>15</xdr:col>
          <xdr:colOff>0</xdr:colOff>
          <xdr:row>0</xdr:row>
          <xdr:rowOff>518160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Расчет 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22860</xdr:rowOff>
        </xdr:from>
        <xdr:to>
          <xdr:col>15</xdr:col>
          <xdr:colOff>861060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Расчет 20%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16</xdr:col>
          <xdr:colOff>861060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Расчет 30%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0</xdr:rowOff>
        </xdr:from>
        <xdr:to>
          <xdr:col>14</xdr:col>
          <xdr:colOff>7620</xdr:colOff>
          <xdr:row>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Расчет 0%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7;&#1072;&#1075;&#1088;&#1091;&#1079;&#1082;&#1080;\2021-09-24%20&#1054;&#1073;&#1086;&#1088;&#1091;&#1076;&#1086;&#1074;&#1072;&#1085;&#1080;&#1077;%20&#1076;&#1083;&#1103;%20&#1073;&#1072;&#1089;&#1089;&#1077;&#1081;&#1085;&#107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7;&#1072;&#1075;&#1088;&#1091;&#1079;&#1082;&#1080;\2021-09-24%20&#1040;&#1082;&#1089;&#1077;&#1089;&#1089;&#1091;&#1072;&#1088;&#1099;%20&#1076;&#1083;&#1103;%20&#1073;&#1072;&#1089;&#1089;&#1077;&#1081;&#1085;&#107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Инструкция"/>
      <sheetName val="validation"/>
      <sheetName val="configs"/>
      <sheetName val="info"/>
      <sheetName val="Шаблон для поставщика"/>
      <sheetName val="Атр. Документация PDF"/>
      <sheetName val="Атр. Видеоролик"/>
    </sheetNames>
    <sheetDataSet>
      <sheetData sheetId="0" refreshError="1"/>
      <sheetData sheetId="1">
        <row r="1">
          <cell r="G1" t="str">
            <v>10</v>
          </cell>
          <cell r="I1" t="str">
            <v>Оборудование для бассейна</v>
          </cell>
          <cell r="S1" t="str">
            <v>Ионизатор для бассейна</v>
          </cell>
          <cell r="X1" t="str">
            <v/>
          </cell>
          <cell r="Y1" t="str">
            <v/>
          </cell>
          <cell r="AE1" t="str">
            <v/>
          </cell>
          <cell r="AH1" t="str">
            <v/>
          </cell>
          <cell r="AJ1" t="str">
            <v>бежевый</v>
          </cell>
        </row>
        <row r="2">
          <cell r="G2" t="str">
            <v>20</v>
          </cell>
          <cell r="S2" t="str">
            <v>Озонатор для бассейна</v>
          </cell>
          <cell r="X2" t="str">
            <v>Взрослая</v>
          </cell>
          <cell r="Y2" t="str">
            <v>Класс 1. Взрывчатые материалы</v>
          </cell>
          <cell r="AE2" t="str">
            <v>Картриджный</v>
          </cell>
          <cell r="AH2" t="str">
            <v>ABS пластик</v>
          </cell>
          <cell r="AJ2" t="str">
            <v>белый</v>
          </cell>
        </row>
        <row r="3">
          <cell r="G3" t="str">
            <v>Не облагается</v>
          </cell>
          <cell r="S3" t="str">
            <v>Пылесос для бассейна</v>
          </cell>
          <cell r="X3" t="str">
            <v>Детская</v>
          </cell>
          <cell r="Y3" t="str">
            <v>Класс 2. Газы</v>
          </cell>
          <cell r="AE3" t="str">
            <v>Комбинированный</v>
          </cell>
          <cell r="AH3" t="str">
            <v>Coolmax</v>
          </cell>
          <cell r="AJ3" t="str">
            <v>бирюзовый</v>
          </cell>
        </row>
        <row r="4">
          <cell r="S4" t="str">
            <v>Робот для чистки бассейна</v>
          </cell>
          <cell r="Y4" t="str">
            <v>Класс 3. Легковоспламеняющиеся жидкости</v>
          </cell>
          <cell r="AE4" t="str">
            <v>Песочный</v>
          </cell>
          <cell r="AH4" t="str">
            <v>Cordura</v>
          </cell>
          <cell r="AJ4" t="str">
            <v>бордовый</v>
          </cell>
        </row>
        <row r="5">
          <cell r="S5" t="str">
            <v>Фильтровальная установка для бассейна</v>
          </cell>
          <cell r="Y5" t="str">
            <v>Класс 4. Легковоспламеняющиеся вещества</v>
          </cell>
          <cell r="AE5" t="str">
            <v>С системой морской воды</v>
          </cell>
          <cell r="AH5" t="str">
            <v>Cotton Peach</v>
          </cell>
          <cell r="AJ5" t="str">
            <v>бронза</v>
          </cell>
        </row>
        <row r="6">
          <cell r="S6" t="str">
            <v>Фильтрующий насос для бассейна</v>
          </cell>
          <cell r="Y6" t="str">
            <v>Класс 5. Окисляющие вещества</v>
          </cell>
          <cell r="AH6" t="str">
            <v>EVA</v>
          </cell>
          <cell r="AJ6" t="str">
            <v>голубой</v>
          </cell>
        </row>
        <row r="7">
          <cell r="S7" t="str">
            <v>Фитинг, арматура для бассейна</v>
          </cell>
          <cell r="Y7" t="str">
            <v>Класс 6. Ядовитые и инфекционные вещества</v>
          </cell>
          <cell r="AH7" t="str">
            <v>Finlyandia</v>
          </cell>
          <cell r="AJ7" t="str">
            <v>горчичный</v>
          </cell>
        </row>
        <row r="8">
          <cell r="S8" t="str">
            <v>Хлорогенератор для бассейна</v>
          </cell>
          <cell r="Y8" t="str">
            <v>Класс 7. Радиоактивные вещества</v>
          </cell>
          <cell r="AH8" t="str">
            <v>Knitted fleece</v>
          </cell>
          <cell r="AJ8" t="str">
            <v>желтый</v>
          </cell>
        </row>
        <row r="9">
          <cell r="Y9" t="str">
            <v>Класс 8. Едкие и коррозионные вещества</v>
          </cell>
          <cell r="AH9" t="str">
            <v>Memory Foam</v>
          </cell>
          <cell r="AJ9" t="str">
            <v>зеленый</v>
          </cell>
        </row>
        <row r="10">
          <cell r="Y10" t="str">
            <v>Класс 9. Прочие опасные вещества</v>
          </cell>
          <cell r="AH10" t="str">
            <v>PLA пластик</v>
          </cell>
          <cell r="AJ10" t="str">
            <v>зеркальный</v>
          </cell>
        </row>
        <row r="11">
          <cell r="Y11" t="str">
            <v>Не опасен</v>
          </cell>
          <cell r="AH11" t="str">
            <v>Tritan</v>
          </cell>
          <cell r="AJ11" t="str">
            <v>золотой</v>
          </cell>
        </row>
        <row r="12">
          <cell r="AH12" t="str">
            <v>Waterproof</v>
          </cell>
          <cell r="AJ12" t="str">
            <v>коралловый</v>
          </cell>
        </row>
        <row r="13">
          <cell r="AH13" t="str">
            <v>Абаши</v>
          </cell>
          <cell r="AJ13" t="str">
            <v>коричнево-красный</v>
          </cell>
        </row>
        <row r="14">
          <cell r="AH14" t="str">
            <v>Абразив</v>
          </cell>
          <cell r="AJ14" t="str">
            <v>коричневый</v>
          </cell>
        </row>
        <row r="15">
          <cell r="AH15" t="str">
            <v>Авиационный алюминий</v>
          </cell>
          <cell r="AJ15" t="str">
            <v>красный</v>
          </cell>
        </row>
        <row r="16">
          <cell r="AH16" t="str">
            <v>Акрил</v>
          </cell>
          <cell r="AJ16" t="str">
            <v>кремовый</v>
          </cell>
        </row>
        <row r="17">
          <cell r="AH17" t="str">
            <v>Акриловый клей</v>
          </cell>
          <cell r="AJ17" t="str">
            <v>лазурный</v>
          </cell>
        </row>
        <row r="18">
          <cell r="AH18" t="str">
            <v>Алова</v>
          </cell>
          <cell r="AJ18" t="str">
            <v>лиловый</v>
          </cell>
        </row>
        <row r="19">
          <cell r="AH19" t="str">
            <v>Алюминий</v>
          </cell>
          <cell r="AJ19" t="str">
            <v>малиновый</v>
          </cell>
        </row>
        <row r="20">
          <cell r="AH20" t="str">
            <v>Анодированная поверхность</v>
          </cell>
          <cell r="AJ20" t="str">
            <v>махагон</v>
          </cell>
        </row>
        <row r="21">
          <cell r="AH21" t="str">
            <v>Атлас</v>
          </cell>
          <cell r="AJ21" t="str">
            <v>медь</v>
          </cell>
        </row>
        <row r="22">
          <cell r="AH22" t="str">
            <v>Бальза</v>
          </cell>
          <cell r="AJ22" t="str">
            <v>мокко</v>
          </cell>
        </row>
        <row r="23">
          <cell r="AH23" t="str">
            <v>Бамбук</v>
          </cell>
          <cell r="AJ23" t="str">
            <v>оливковый</v>
          </cell>
        </row>
        <row r="24">
          <cell r="AH24" t="str">
            <v>Бамбуковое волокно</v>
          </cell>
          <cell r="AJ24" t="str">
            <v>оранжевый</v>
          </cell>
        </row>
        <row r="25">
          <cell r="AH25" t="str">
            <v>Береза</v>
          </cell>
          <cell r="AJ25" t="str">
            <v xml:space="preserve">перламутровый </v>
          </cell>
        </row>
        <row r="26">
          <cell r="AH26" t="str">
            <v>Биопластик</v>
          </cell>
          <cell r="AJ26" t="str">
            <v xml:space="preserve">песочный </v>
          </cell>
        </row>
        <row r="27">
          <cell r="AH27" t="str">
            <v>Бифлекс</v>
          </cell>
          <cell r="AJ27" t="str">
            <v>прозрачный</v>
          </cell>
        </row>
        <row r="28">
          <cell r="AH28" t="str">
            <v>Боросиликатное стекло</v>
          </cell>
          <cell r="AJ28" t="str">
            <v>пурпурный</v>
          </cell>
        </row>
        <row r="29">
          <cell r="AH29" t="str">
            <v>Бостон</v>
          </cell>
          <cell r="AJ29" t="str">
            <v>пыльно-розовый</v>
          </cell>
        </row>
        <row r="30">
          <cell r="AH30" t="str">
            <v>Брезент</v>
          </cell>
          <cell r="AJ30" t="str">
            <v>разноцветный</v>
          </cell>
        </row>
        <row r="31">
          <cell r="AH31" t="str">
            <v>Бронза</v>
          </cell>
          <cell r="AJ31" t="str">
            <v>розовый</v>
          </cell>
        </row>
        <row r="32">
          <cell r="AH32" t="str">
            <v>Бумага</v>
          </cell>
          <cell r="AJ32" t="str">
            <v>салатовый</v>
          </cell>
        </row>
        <row r="33">
          <cell r="AH33" t="str">
            <v>Бутил</v>
          </cell>
          <cell r="AJ33" t="str">
            <v>светло-бежевый</v>
          </cell>
        </row>
        <row r="34">
          <cell r="AH34" t="str">
            <v>Бязь</v>
          </cell>
          <cell r="AJ34" t="str">
            <v>светло-желтый</v>
          </cell>
        </row>
        <row r="35">
          <cell r="AH35" t="str">
            <v>Велюр искусственный</v>
          </cell>
          <cell r="AJ35" t="str">
            <v>светло-зеленый</v>
          </cell>
        </row>
        <row r="36">
          <cell r="AH36" t="str">
            <v>Велюр натуральный</v>
          </cell>
          <cell r="AJ36" t="str">
            <v>светло-коричневый</v>
          </cell>
        </row>
        <row r="37">
          <cell r="AH37" t="str">
            <v>Винил</v>
          </cell>
          <cell r="AJ37" t="str">
            <v>светло-розовый</v>
          </cell>
        </row>
        <row r="38">
          <cell r="AH38" t="str">
            <v>Винитол</v>
          </cell>
          <cell r="AJ38" t="str">
            <v>светло-серый</v>
          </cell>
        </row>
        <row r="39">
          <cell r="AH39" t="str">
            <v>Вискоза</v>
          </cell>
          <cell r="AJ39" t="str">
            <v>светло-синий</v>
          </cell>
        </row>
        <row r="40">
          <cell r="AH40" t="str">
            <v>Вишня</v>
          </cell>
          <cell r="AJ40" t="str">
            <v>серебристый</v>
          </cell>
        </row>
        <row r="41">
          <cell r="AH41" t="str">
            <v>Вода</v>
          </cell>
          <cell r="AJ41" t="str">
            <v>серый</v>
          </cell>
        </row>
        <row r="42">
          <cell r="AH42" t="str">
            <v>Войлок</v>
          </cell>
          <cell r="AJ42" t="str">
            <v>серый металлик</v>
          </cell>
        </row>
        <row r="43">
          <cell r="AH43" t="str">
            <v>Волокно</v>
          </cell>
          <cell r="AJ43" t="str">
            <v>синий</v>
          </cell>
        </row>
        <row r="44">
          <cell r="AH44" t="str">
            <v>Вольфрам</v>
          </cell>
          <cell r="AJ44" t="str">
            <v>сиреневый</v>
          </cell>
        </row>
        <row r="45">
          <cell r="AH45" t="str">
            <v>Вольфрамовый сплав</v>
          </cell>
          <cell r="AJ45" t="str">
            <v>слоновая кость</v>
          </cell>
        </row>
        <row r="46">
          <cell r="AH46" t="str">
            <v>Воск</v>
          </cell>
          <cell r="AJ46" t="str">
            <v>темно-бежевый</v>
          </cell>
        </row>
        <row r="47">
          <cell r="AH47" t="str">
            <v>Вспененная резина EPDM</v>
          </cell>
          <cell r="AJ47" t="str">
            <v>темно-бордовый</v>
          </cell>
        </row>
        <row r="48">
          <cell r="AH48" t="str">
            <v>Вспененный поливинилхлорид</v>
          </cell>
          <cell r="AJ48" t="str">
            <v>темно-зеленый</v>
          </cell>
        </row>
        <row r="49">
          <cell r="AH49" t="str">
            <v>Вспененный полимер</v>
          </cell>
          <cell r="AJ49" t="str">
            <v>темно-коричневый</v>
          </cell>
        </row>
        <row r="50">
          <cell r="AH50" t="str">
            <v>Вспененный полиэтилен</v>
          </cell>
          <cell r="AJ50" t="str">
            <v>темно-розовый</v>
          </cell>
        </row>
        <row r="51">
          <cell r="AH51" t="str">
            <v>Вулканизированная резина</v>
          </cell>
          <cell r="AJ51" t="str">
            <v>темно-серый</v>
          </cell>
        </row>
        <row r="52">
          <cell r="AH52" t="str">
            <v>Гелевый наполнитель</v>
          </cell>
          <cell r="AJ52" t="str">
            <v>темно-синий</v>
          </cell>
        </row>
        <row r="53">
          <cell r="AH53" t="str">
            <v>Гель</v>
          </cell>
          <cell r="AJ53" t="str">
            <v>темный градиент</v>
          </cell>
        </row>
        <row r="54">
          <cell r="AH54" t="str">
            <v>Гипоаллергенный пластик</v>
          </cell>
          <cell r="AJ54" t="str">
            <v>фиолетовый</v>
          </cell>
        </row>
        <row r="55">
          <cell r="AH55" t="str">
            <v>Графит</v>
          </cell>
          <cell r="AJ55" t="str">
            <v>фуксия</v>
          </cell>
        </row>
        <row r="56">
          <cell r="AH56" t="str">
            <v>ДВП</v>
          </cell>
          <cell r="AJ56" t="str">
            <v>хаки</v>
          </cell>
        </row>
        <row r="57">
          <cell r="AH57" t="str">
            <v>Дерево</v>
          </cell>
          <cell r="AJ57" t="str">
            <v>хром</v>
          </cell>
        </row>
        <row r="58">
          <cell r="AH58" t="str">
            <v>Джинс</v>
          </cell>
          <cell r="AJ58" t="str">
            <v>черно-розовый</v>
          </cell>
        </row>
        <row r="59">
          <cell r="AH59" t="str">
            <v>Дилатант</v>
          </cell>
          <cell r="AJ59" t="str">
            <v>черно-серый</v>
          </cell>
        </row>
        <row r="60">
          <cell r="AH60" t="str">
            <v>Дюспопонж</v>
          </cell>
          <cell r="AJ60" t="str">
            <v>черный</v>
          </cell>
        </row>
        <row r="61">
          <cell r="AH61" t="str">
            <v>Жаккард</v>
          </cell>
          <cell r="AJ61" t="str">
            <v>черный матовый</v>
          </cell>
        </row>
        <row r="62">
          <cell r="AH62" t="str">
            <v>Железо</v>
          </cell>
          <cell r="AJ62" t="str">
            <v>черный полоска</v>
          </cell>
        </row>
        <row r="63">
          <cell r="AH63" t="str">
            <v>Замша</v>
          </cell>
          <cell r="AJ63" t="str">
            <v>шоколадный</v>
          </cell>
        </row>
        <row r="64">
          <cell r="AH64" t="str">
            <v>Изолон</v>
          </cell>
          <cell r="AJ64" t="str">
            <v>ярко-розовый</v>
          </cell>
        </row>
        <row r="65">
          <cell r="AH65" t="str">
            <v>Искусственная замша</v>
          </cell>
        </row>
        <row r="66">
          <cell r="AH66" t="str">
            <v>Искусственная кожа</v>
          </cell>
        </row>
        <row r="67">
          <cell r="AH67" t="str">
            <v>Искусственные материалы</v>
          </cell>
        </row>
        <row r="68">
          <cell r="AH68" t="str">
            <v>Искусственный каучук</v>
          </cell>
        </row>
        <row r="69">
          <cell r="AH69" t="str">
            <v>Искусственный лак</v>
          </cell>
        </row>
        <row r="70">
          <cell r="AH70" t="str">
            <v>Искусственный латекс</v>
          </cell>
        </row>
        <row r="71">
          <cell r="AH71" t="str">
            <v>Искусственный мех</v>
          </cell>
        </row>
        <row r="72">
          <cell r="AH72" t="str">
            <v>Искусственный нубук</v>
          </cell>
        </row>
        <row r="73">
          <cell r="AH73" t="str">
            <v>Капвелюр</v>
          </cell>
        </row>
        <row r="74">
          <cell r="AH74" t="str">
            <v>Капрон</v>
          </cell>
        </row>
        <row r="75">
          <cell r="AH75" t="str">
            <v>Карбид</v>
          </cell>
        </row>
        <row r="76">
          <cell r="AH76" t="str">
            <v>Карбон</v>
          </cell>
        </row>
        <row r="77">
          <cell r="AH77" t="str">
            <v>Карбопласт</v>
          </cell>
        </row>
        <row r="78">
          <cell r="AH78" t="str">
            <v>Картон</v>
          </cell>
        </row>
        <row r="79">
          <cell r="AH79" t="str">
            <v>Каучук</v>
          </cell>
        </row>
        <row r="80">
          <cell r="AH80" t="str">
            <v>Кашемир</v>
          </cell>
        </row>
        <row r="81">
          <cell r="AH81" t="str">
            <v>Кварц</v>
          </cell>
        </row>
        <row r="82">
          <cell r="AH82" t="str">
            <v>Кевлар</v>
          </cell>
        </row>
        <row r="83">
          <cell r="AH83" t="str">
            <v>Керамика</v>
          </cell>
        </row>
        <row r="84">
          <cell r="AH84" t="str">
            <v>Клеенка</v>
          </cell>
        </row>
        <row r="85">
          <cell r="AH85" t="str">
            <v>Кожа с покрытием</v>
          </cell>
        </row>
        <row r="86">
          <cell r="AH86" t="str">
            <v>Композитные материалы</v>
          </cell>
        </row>
        <row r="87">
          <cell r="AH87" t="str">
            <v>Композитный материал</v>
          </cell>
        </row>
        <row r="88">
          <cell r="AH88" t="str">
            <v>Кордура </v>
          </cell>
        </row>
        <row r="89">
          <cell r="AH89" t="str">
            <v>Кукурузный крахмал</v>
          </cell>
        </row>
        <row r="90">
          <cell r="AH90" t="str">
            <v>Лайкра</v>
          </cell>
        </row>
        <row r="91">
          <cell r="AH91" t="str">
            <v>Лак</v>
          </cell>
        </row>
        <row r="92">
          <cell r="AH92" t="str">
            <v>Латунь</v>
          </cell>
        </row>
        <row r="93">
          <cell r="AH93" t="str">
            <v>Лен</v>
          </cell>
        </row>
        <row r="94">
          <cell r="AH94" t="str">
            <v>МДФ</v>
          </cell>
        </row>
        <row r="95">
          <cell r="AH95" t="str">
            <v>Магниевый сплав</v>
          </cell>
        </row>
        <row r="96">
          <cell r="AH96" t="str">
            <v>Магнит</v>
          </cell>
        </row>
        <row r="97">
          <cell r="AH97" t="str">
            <v>Масло</v>
          </cell>
        </row>
        <row r="98">
          <cell r="AH98" t="str">
            <v>Медь</v>
          </cell>
        </row>
        <row r="99">
          <cell r="AH99" t="str">
            <v>Мелованный картон</v>
          </cell>
        </row>
        <row r="100">
          <cell r="AH100" t="str">
            <v>Мембранные материалы</v>
          </cell>
        </row>
        <row r="101">
          <cell r="AH101" t="str">
            <v>Металл</v>
          </cell>
        </row>
        <row r="102">
          <cell r="AH102" t="str">
            <v>Металлический сплав</v>
          </cell>
        </row>
        <row r="103">
          <cell r="AH103" t="str">
            <v>Мех шерстяной</v>
          </cell>
        </row>
        <row r="104">
          <cell r="AH104" t="str">
            <v>Микроволокно</v>
          </cell>
        </row>
        <row r="105">
          <cell r="AH105" t="str">
            <v>Микрокоттон</v>
          </cell>
        </row>
        <row r="106">
          <cell r="AH106" t="str">
            <v>Микрополиэфир</v>
          </cell>
        </row>
        <row r="107">
          <cell r="AH107" t="str">
            <v>Микрофибра</v>
          </cell>
        </row>
        <row r="108">
          <cell r="AH108" t="str">
            <v>Натуральная кожа</v>
          </cell>
        </row>
        <row r="109">
          <cell r="AH109" t="str">
            <v>Натуральные материалы</v>
          </cell>
        </row>
        <row r="110">
          <cell r="AH110" t="str">
            <v>Натуральный латекс</v>
          </cell>
        </row>
        <row r="111">
          <cell r="AH111" t="str">
            <v>Нейлон</v>
          </cell>
        </row>
        <row r="112">
          <cell r="AH112" t="str">
            <v>Неопрен</v>
          </cell>
        </row>
        <row r="113">
          <cell r="AH113" t="str">
            <v>Нержавеющая сталь</v>
          </cell>
        </row>
        <row r="114">
          <cell r="AH114" t="str">
            <v>Нетканое волокно</v>
          </cell>
        </row>
        <row r="115">
          <cell r="AH115" t="str">
            <v>Никель</v>
          </cell>
        </row>
        <row r="116">
          <cell r="AH116" t="str">
            <v>Нубук</v>
          </cell>
        </row>
        <row r="117">
          <cell r="AH117" t="str">
            <v>Овчина</v>
          </cell>
        </row>
        <row r="118">
          <cell r="AH118" t="str">
            <v>Оксфорд</v>
          </cell>
        </row>
        <row r="119">
          <cell r="AH119" t="str">
            <v>ПАН</v>
          </cell>
        </row>
        <row r="120">
          <cell r="AH120" t="str">
            <v>ПБТ (Полибутилентерефталат)</v>
          </cell>
        </row>
        <row r="121">
          <cell r="AH121" t="str">
            <v>ПВД (Полиэтилен высокого давления)</v>
          </cell>
        </row>
        <row r="122">
          <cell r="AH122" t="str">
            <v>ПВС</v>
          </cell>
        </row>
        <row r="123">
          <cell r="AH123" t="str">
            <v>ПВХ (поливинилхлорид)</v>
          </cell>
        </row>
        <row r="124">
          <cell r="AH124" t="str">
            <v>ПВХ пластизоль</v>
          </cell>
        </row>
        <row r="125">
          <cell r="AH125" t="str">
            <v>ПЕВА (полиэтиленвинилацетат)</v>
          </cell>
        </row>
        <row r="126">
          <cell r="AH126" t="str">
            <v>ПНД (Полиэтилен низкого давления)</v>
          </cell>
        </row>
        <row r="127">
          <cell r="AH127" t="str">
            <v>ПЭТ(Полиэтилентерефталат)</v>
          </cell>
        </row>
        <row r="128">
          <cell r="AH128" t="str">
            <v>Падук</v>
          </cell>
        </row>
        <row r="129">
          <cell r="AH129" t="str">
            <v>Паракорд</v>
          </cell>
        </row>
        <row r="130">
          <cell r="AH130" t="str">
            <v>Парафин</v>
          </cell>
        </row>
        <row r="131">
          <cell r="AH131" t="str">
            <v>Пенопласт</v>
          </cell>
        </row>
        <row r="132">
          <cell r="AH132" t="str">
            <v>Пенополистирол</v>
          </cell>
        </row>
        <row r="133">
          <cell r="AH133" t="str">
            <v>Пенополиуретан</v>
          </cell>
        </row>
        <row r="134">
          <cell r="AH134" t="str">
            <v>Пенополиэтилен</v>
          </cell>
        </row>
        <row r="135">
          <cell r="AH135" t="str">
            <v>Пенопропилен</v>
          </cell>
        </row>
        <row r="136">
          <cell r="AH136" t="str">
            <v>Переработанные материалы</v>
          </cell>
        </row>
        <row r="137">
          <cell r="AH137" t="str">
            <v>Перо</v>
          </cell>
        </row>
        <row r="138">
          <cell r="AH138" t="str">
            <v>Песок</v>
          </cell>
        </row>
        <row r="139">
          <cell r="AH139" t="str">
            <v>Пищевой пластик</v>
          </cell>
        </row>
        <row r="140">
          <cell r="AH140" t="str">
            <v>Пищевой полимер</v>
          </cell>
        </row>
        <row r="141">
          <cell r="AH141" t="str">
            <v>Пластизоль</v>
          </cell>
        </row>
        <row r="142">
          <cell r="AH142" t="str">
            <v>Пластик</v>
          </cell>
        </row>
        <row r="143">
          <cell r="AH143" t="str">
            <v>Пластик и сталь</v>
          </cell>
        </row>
        <row r="144">
          <cell r="AH144" t="str">
            <v>Полиакрил</v>
          </cell>
        </row>
        <row r="145">
          <cell r="AH145" t="str">
            <v>Полиамид</v>
          </cell>
        </row>
        <row r="146">
          <cell r="AH146" t="str">
            <v>Поливискоза</v>
          </cell>
        </row>
        <row r="147">
          <cell r="AH147" t="str">
            <v>Поликарбонат</v>
          </cell>
        </row>
        <row r="148">
          <cell r="AH148" t="str">
            <v>Поликоттон</v>
          </cell>
        </row>
        <row r="149">
          <cell r="AH149" t="str">
            <v>Полимер</v>
          </cell>
        </row>
        <row r="150">
          <cell r="AH150" t="str">
            <v>Полипропилен</v>
          </cell>
        </row>
        <row r="151">
          <cell r="AH151" t="str">
            <v>Полистирол</v>
          </cell>
        </row>
        <row r="152">
          <cell r="AH152" t="str">
            <v>Полиуретан</v>
          </cell>
        </row>
        <row r="153">
          <cell r="AH153" t="str">
            <v>Полиэстер</v>
          </cell>
        </row>
        <row r="154">
          <cell r="AH154" t="str">
            <v>Полиэтилен</v>
          </cell>
        </row>
        <row r="155">
          <cell r="AH155" t="str">
            <v>Полиэфир</v>
          </cell>
        </row>
        <row r="156">
          <cell r="AH156" t="str">
            <v>Полиэфирное волокно</v>
          </cell>
        </row>
        <row r="157">
          <cell r="AH157" t="str">
            <v>Поролон</v>
          </cell>
        </row>
        <row r="158">
          <cell r="AH158" t="str">
            <v>Пробка</v>
          </cell>
        </row>
        <row r="159">
          <cell r="AH159" t="str">
            <v>Пух</v>
          </cell>
        </row>
        <row r="160">
          <cell r="AH160" t="str">
            <v>Резина</v>
          </cell>
        </row>
        <row r="161">
          <cell r="AH161" t="str">
            <v>Резина-пластик</v>
          </cell>
        </row>
        <row r="162">
          <cell r="AH162" t="str">
            <v>Резиновая смесь</v>
          </cell>
        </row>
        <row r="163">
          <cell r="AH163" t="str">
            <v>Сатин</v>
          </cell>
        </row>
        <row r="164">
          <cell r="AH164" t="str">
            <v>Сахарный тростник</v>
          </cell>
        </row>
        <row r="165">
          <cell r="AH165" t="str">
            <v>Свинец</v>
          </cell>
        </row>
        <row r="166">
          <cell r="AH166" t="str">
            <v>Сетка</v>
          </cell>
        </row>
        <row r="167">
          <cell r="AH167" t="str">
            <v>Сизаль</v>
          </cell>
        </row>
        <row r="168">
          <cell r="AH168" t="str">
            <v>Силикон</v>
          </cell>
        </row>
        <row r="169">
          <cell r="AH169" t="str">
            <v>Силумин</v>
          </cell>
        </row>
        <row r="170">
          <cell r="AH170" t="str">
            <v>Синтепон</v>
          </cell>
        </row>
        <row r="171">
          <cell r="AH171" t="str">
            <v>Синтетика</v>
          </cell>
        </row>
        <row r="172">
          <cell r="AH172" t="str">
            <v>Синтетическая дышащая сетка</v>
          </cell>
        </row>
        <row r="173">
          <cell r="AH173" t="str">
            <v>Синтетическая кожа</v>
          </cell>
        </row>
        <row r="174">
          <cell r="AH174" t="str">
            <v>Солома</v>
          </cell>
        </row>
        <row r="175">
          <cell r="AH175" t="str">
            <v>Соль</v>
          </cell>
        </row>
        <row r="176">
          <cell r="AH176" t="str">
            <v>Спанбонд</v>
          </cell>
        </row>
        <row r="177">
          <cell r="AH177" t="str">
            <v>Спандекс</v>
          </cell>
        </row>
        <row r="178">
          <cell r="AH178" t="str">
            <v>Сталь</v>
          </cell>
        </row>
        <row r="179">
          <cell r="AH179" t="str">
            <v>Стекло</v>
          </cell>
        </row>
        <row r="180">
          <cell r="AH180" t="str">
            <v>Стекловолокно</v>
          </cell>
        </row>
        <row r="181">
          <cell r="AH181" t="str">
            <v>Стеклопластик</v>
          </cell>
        </row>
        <row r="182">
          <cell r="AH182" t="str">
            <v>ТПУ (термополиуретан)</v>
          </cell>
        </row>
        <row r="183">
          <cell r="AH183" t="str">
            <v>ТЭП (полимерный термопластичный материал)</v>
          </cell>
        </row>
        <row r="184">
          <cell r="AH184" t="str">
            <v>Таслан</v>
          </cell>
        </row>
        <row r="185">
          <cell r="AH185" t="str">
            <v>Текстиль</v>
          </cell>
        </row>
        <row r="186">
          <cell r="AH186" t="str">
            <v>Тент</v>
          </cell>
        </row>
        <row r="187">
          <cell r="AH187" t="str">
            <v>Терилен</v>
          </cell>
        </row>
        <row r="188">
          <cell r="AH188" t="str">
            <v>Термопластик (TPU)</v>
          </cell>
        </row>
        <row r="189">
          <cell r="AH189" t="str">
            <v>Термопластический эластомер (TPE)</v>
          </cell>
        </row>
        <row r="190">
          <cell r="AH190" t="str">
            <v>Термопластичная резина</v>
          </cell>
        </row>
        <row r="191">
          <cell r="AH191" t="str">
            <v>Термопластичный эластомер</v>
          </cell>
        </row>
        <row r="192">
          <cell r="AH192" t="str">
            <v>Термоэластопласт</v>
          </cell>
        </row>
        <row r="193">
          <cell r="AH193" t="str">
            <v>Тинсулейт</v>
          </cell>
        </row>
        <row r="194">
          <cell r="AH194" t="str">
            <v>Титан</v>
          </cell>
        </row>
        <row r="195">
          <cell r="AH195" t="str">
            <v>Титановый сплав</v>
          </cell>
        </row>
        <row r="196">
          <cell r="AH196" t="str">
            <v>Ткань</v>
          </cell>
        </row>
        <row r="197">
          <cell r="AH197" t="str">
            <v>Тополь</v>
          </cell>
        </row>
        <row r="198">
          <cell r="AH198" t="str">
            <v>Трикотаж</v>
          </cell>
        </row>
        <row r="199">
          <cell r="AH199" t="str">
            <v>Тритан</v>
          </cell>
        </row>
        <row r="200">
          <cell r="AH200" t="str">
            <v>Турмалин</v>
          </cell>
        </row>
        <row r="201">
          <cell r="AH201" t="str">
            <v>Углепластик / карбон</v>
          </cell>
        </row>
        <row r="202">
          <cell r="AH202" t="str">
            <v>Углеродистая сталь</v>
          </cell>
        </row>
        <row r="203">
          <cell r="AH203" t="str">
            <v>Уголь</v>
          </cell>
        </row>
        <row r="204">
          <cell r="AH204" t="str">
            <v>Фанера</v>
          </cell>
        </row>
        <row r="205">
          <cell r="AH205" t="str">
            <v>Фарфор</v>
          </cell>
        </row>
        <row r="206">
          <cell r="AH206" t="str">
            <v>Фетр</v>
          </cell>
        </row>
        <row r="207">
          <cell r="AH207" t="str">
            <v>Фибергласс</v>
          </cell>
        </row>
        <row r="208">
          <cell r="AH208" t="str">
            <v>Флис</v>
          </cell>
        </row>
        <row r="209">
          <cell r="AH209" t="str">
            <v>Флок</v>
          </cell>
        </row>
        <row r="210">
          <cell r="AH210" t="str">
            <v>Флюорокарбон</v>
          </cell>
        </row>
        <row r="211">
          <cell r="AH211" t="str">
            <v>Флюрокарбон</v>
          </cell>
        </row>
        <row r="212">
          <cell r="AH212" t="str">
            <v>Фольга</v>
          </cell>
        </row>
        <row r="213">
          <cell r="AH213" t="str">
            <v>Хлопок</v>
          </cell>
        </row>
        <row r="214">
          <cell r="AH214" t="str">
            <v>Холлкон</v>
          </cell>
        </row>
        <row r="215">
          <cell r="AH215" t="str">
            <v>Хром</v>
          </cell>
        </row>
        <row r="216">
          <cell r="AH216" t="str">
            <v>Хромированная поверхность</v>
          </cell>
        </row>
        <row r="217">
          <cell r="AH217" t="str">
            <v>Целлюлоза</v>
          </cell>
        </row>
        <row r="218">
          <cell r="AH218" t="str">
            <v>Цемент</v>
          </cell>
        </row>
        <row r="219">
          <cell r="AH219" t="str">
            <v>Цинк</v>
          </cell>
        </row>
        <row r="220">
          <cell r="AH220" t="str">
            <v>Черный граб</v>
          </cell>
        </row>
        <row r="221">
          <cell r="AH221" t="str">
            <v>Чугун</v>
          </cell>
        </row>
        <row r="222">
          <cell r="AH222" t="str">
            <v>Шелк</v>
          </cell>
        </row>
        <row r="223">
          <cell r="AH223" t="str">
            <v>Шелтер</v>
          </cell>
        </row>
        <row r="224">
          <cell r="AH224" t="str">
            <v>Шерпа</v>
          </cell>
        </row>
        <row r="225">
          <cell r="AH225" t="str">
            <v>Шерсть</v>
          </cell>
        </row>
        <row r="226">
          <cell r="AH226" t="str">
            <v>Шпон</v>
          </cell>
        </row>
        <row r="227">
          <cell r="AH227" t="str">
            <v>Щетина</v>
          </cell>
        </row>
        <row r="228">
          <cell r="AH228" t="str">
            <v>ЭВА (вспененный полимер)</v>
          </cell>
        </row>
        <row r="229">
          <cell r="AH229" t="str">
            <v>ЭВА (этиленвинилацетат)</v>
          </cell>
        </row>
        <row r="230">
          <cell r="AH230" t="str">
            <v>Экокожа</v>
          </cell>
        </row>
        <row r="231">
          <cell r="AH231" t="str">
            <v>Эластан</v>
          </cell>
        </row>
        <row r="232">
          <cell r="AH232" t="str">
            <v>Эластомер</v>
          </cell>
        </row>
        <row r="233">
          <cell r="AH233" t="str">
            <v>Эмалированная сталь</v>
          </cell>
        </row>
        <row r="234">
          <cell r="AH234" t="str">
            <v>Этилвинилацетат</v>
          </cell>
        </row>
        <row r="235">
          <cell r="AH235" t="str">
            <v>углеволокно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Инструкция"/>
      <sheetName val="validation"/>
      <sheetName val="configs"/>
      <sheetName val="info"/>
      <sheetName val="Шаблон для поставщика"/>
      <sheetName val="Атр. Документация PDF"/>
      <sheetName val="Атр. Видеоролик"/>
    </sheetNames>
    <sheetDataSet>
      <sheetData sheetId="0" refreshError="1"/>
      <sheetData sheetId="1">
        <row r="1">
          <cell r="Z1" t="str">
            <v/>
          </cell>
          <cell r="AF1" t="str">
            <v/>
          </cell>
          <cell r="AL1" t="str">
            <v/>
          </cell>
        </row>
        <row r="2">
          <cell r="AF2" t="str">
            <v>Вкапываемый</v>
          </cell>
          <cell r="AL2" t="str">
            <v>Картриджный</v>
          </cell>
        </row>
        <row r="3">
          <cell r="AF3" t="str">
            <v>Наземный</v>
          </cell>
          <cell r="AL3" t="str">
            <v>Комбинированный</v>
          </cell>
        </row>
        <row r="4">
          <cell r="AL4" t="str">
            <v>Песочный</v>
          </cell>
        </row>
        <row r="5">
          <cell r="AL5" t="str">
            <v>С системой морской воды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</sheetPr>
  <dimension ref="A1:Q2"/>
  <sheetViews>
    <sheetView tabSelected="1" workbookViewId="0">
      <pane xSplit="3" ySplit="1" topLeftCell="D2" activePane="bottomRight" state="frozen"/>
      <selection activeCell="A3" sqref="A3"/>
      <selection pane="topRight" activeCell="C3" sqref="C3"/>
      <selection pane="bottomLeft" activeCell="A6" sqref="A6"/>
      <selection pane="bottomRight" activeCell="F9" sqref="F9"/>
    </sheetView>
  </sheetViews>
  <sheetFormatPr defaultColWidth="12.5546875" defaultRowHeight="15.75" customHeight="1" outlineLevelCol="1" x14ac:dyDescent="0.25"/>
  <cols>
    <col min="1" max="1" width="7.6640625" bestFit="1" customWidth="1"/>
    <col min="2" max="2" width="11.33203125" style="13" customWidth="1"/>
    <col min="3" max="3" width="32.6640625" style="13" bestFit="1" customWidth="1" outlineLevel="1"/>
    <col min="4" max="4" width="9.44140625" customWidth="1" outlineLevel="1"/>
    <col min="5" max="7" width="9.5546875" style="2" customWidth="1" outlineLevel="1"/>
    <col min="8" max="8" width="26.77734375" style="52" bestFit="1" customWidth="1" outlineLevel="1"/>
    <col min="9" max="9" width="9.5546875" style="5" customWidth="1" outlineLevel="1"/>
    <col min="10" max="12" width="10" style="5" customWidth="1" outlineLevel="1"/>
    <col min="13" max="13" width="11.44140625" style="5" hidden="1" customWidth="1" outlineLevel="1"/>
    <col min="14" max="14" width="12.44140625" style="36" customWidth="1"/>
    <col min="15" max="16" width="12.5546875" style="36"/>
    <col min="17" max="17" width="12.5546875" style="39"/>
  </cols>
  <sheetData>
    <row r="1" spans="1:17" ht="25.5" customHeight="1" x14ac:dyDescent="0.25">
      <c r="A1" s="1" t="s">
        <v>1</v>
      </c>
      <c r="B1" s="43" t="s">
        <v>1</v>
      </c>
      <c r="C1" s="14" t="s">
        <v>0</v>
      </c>
      <c r="D1" s="12" t="s">
        <v>10</v>
      </c>
      <c r="E1" s="3" t="s">
        <v>11</v>
      </c>
      <c r="F1" s="3" t="s">
        <v>12</v>
      </c>
      <c r="G1" s="3" t="s">
        <v>13</v>
      </c>
      <c r="H1" s="51" t="s">
        <v>22</v>
      </c>
      <c r="I1" s="25" t="s">
        <v>24</v>
      </c>
      <c r="J1" s="25" t="s">
        <v>17</v>
      </c>
      <c r="K1" s="25" t="s">
        <v>18</v>
      </c>
      <c r="L1" s="25" t="s">
        <v>19</v>
      </c>
      <c r="M1" s="25" t="s">
        <v>20</v>
      </c>
      <c r="N1" s="26"/>
      <c r="O1" s="26"/>
      <c r="P1" s="26"/>
      <c r="Q1" s="37"/>
    </row>
    <row r="2" spans="1:17" ht="15.75" customHeight="1" x14ac:dyDescent="0.25">
      <c r="A2" t="str">
        <f t="shared" ref="A2" si="0">LEFT(B2,5)</f>
        <v>28271</v>
      </c>
      <c r="B2" t="s">
        <v>3</v>
      </c>
      <c r="C2" t="s">
        <v>29</v>
      </c>
      <c r="D2">
        <f>VLOOKUP(A2,Размеры!$A:$P,16,0)</f>
        <v>64</v>
      </c>
      <c r="E2">
        <f>IF(D2&gt;1,Тарифы!C$2+(D2-1)*Тарифы!C$3,Тарифы!C$2)</f>
        <v>682.95</v>
      </c>
      <c r="F2">
        <f>IF(D2&gt;5,Тарифы!D$2+(D2-5)*Тарифы!D$3,Тарифы!D$2)</f>
        <v>0</v>
      </c>
      <c r="G2">
        <f>IF(D2&gt;5,Тарифы!E$2+(D2-5)*Тарифы!E$3,Тарифы!E$2)*30</f>
        <v>89.879999999999981</v>
      </c>
      <c r="H2" s="42">
        <v>0.19500000000000001</v>
      </c>
      <c r="I2" s="4">
        <f>VLOOKUP(A2,Прайс!A:F,3,0)</f>
        <v>6152</v>
      </c>
      <c r="J2" s="4">
        <f>VLOOKUP(A2,Прайс!A:F,4,0)</f>
        <v>6767.2000000000007</v>
      </c>
      <c r="K2" s="4">
        <f>VLOOKUP(A2,Прайс!A:F,5,0)</f>
        <v>7382.4</v>
      </c>
      <c r="L2" s="4">
        <f>VLOOKUP(A2,Прайс!A:F,6,0)</f>
        <v>7997.6</v>
      </c>
      <c r="M2" s="4" t="e">
        <f>VLOOKUP(A2,Прайс!A:F,7,0)</f>
        <v>#REF!</v>
      </c>
      <c r="N2" s="4">
        <v>8602</v>
      </c>
      <c r="O2" s="4">
        <v>9366</v>
      </c>
      <c r="P2" s="4">
        <v>10130</v>
      </c>
      <c r="Q2" s="38">
        <v>10895</v>
      </c>
    </row>
  </sheetData>
  <autoFilter ref="A1:Q2" xr:uid="{00000000-0001-0000-0000-000000000000}"/>
  <phoneticPr fontId="18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10">
                <anchor moveWithCells="1" sizeWithCells="1">
                  <from>
                    <xdr:col>14</xdr:col>
                    <xdr:colOff>22860</xdr:colOff>
                    <xdr:row>0</xdr:row>
                    <xdr:rowOff>0</xdr:rowOff>
                  </from>
                  <to>
                    <xdr:col>15</xdr:col>
                    <xdr:colOff>0</xdr:colOff>
                    <xdr:row>0</xdr:row>
                    <xdr:rowOff>518160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alc20">
                <anchor moveWithCells="1" sizeWithCells="1">
                  <from>
                    <xdr:col>15</xdr:col>
                    <xdr:colOff>0</xdr:colOff>
                    <xdr:row>0</xdr:row>
                    <xdr:rowOff>22860</xdr:rowOff>
                  </from>
                  <to>
                    <xdr:col>15</xdr:col>
                    <xdr:colOff>861060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Calc0">
                <anchor moveWithCells="1" sizeWithCells="1">
                  <from>
                    <xdr:col>13</xdr:col>
                    <xdr:colOff>7620</xdr:colOff>
                    <xdr:row>0</xdr:row>
                    <xdr:rowOff>0</xdr:rowOff>
                  </from>
                  <to>
                    <xdr:col>14</xdr:col>
                    <xdr:colOff>7620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Calc30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16</xdr:col>
                    <xdr:colOff>861060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4B8B3-CDD6-4310-BE37-BB73EB47224D}">
  <sheetPr codeName="Лист4"/>
  <dimension ref="A1:P2"/>
  <sheetViews>
    <sheetView zoomScale="130" zoomScaleNormal="13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" sqref="D1:D1048576"/>
    </sheetView>
  </sheetViews>
  <sheetFormatPr defaultRowHeight="13.2" x14ac:dyDescent="0.25"/>
  <cols>
    <col min="2" max="2" width="10.5546875" style="41" customWidth="1"/>
    <col min="3" max="3" width="47.5546875" style="45" bestFit="1" customWidth="1"/>
    <col min="4" max="4" width="7.6640625" customWidth="1"/>
    <col min="5" max="8" width="10.5546875" style="10"/>
  </cols>
  <sheetData>
    <row r="1" spans="1:16" ht="26.4" x14ac:dyDescent="0.25">
      <c r="A1" s="27" t="s">
        <v>21</v>
      </c>
      <c r="B1" s="15" t="s">
        <v>2</v>
      </c>
      <c r="C1" s="6" t="s">
        <v>31</v>
      </c>
      <c r="D1" s="15"/>
      <c r="E1" s="8" t="s">
        <v>5</v>
      </c>
      <c r="F1" s="8" t="s">
        <v>6</v>
      </c>
      <c r="G1" s="8" t="s">
        <v>7</v>
      </c>
      <c r="H1" s="8" t="s">
        <v>8</v>
      </c>
      <c r="I1" s="6" t="s">
        <v>4</v>
      </c>
      <c r="J1" s="6" t="s">
        <v>5</v>
      </c>
      <c r="K1" s="6" t="s">
        <v>6</v>
      </c>
      <c r="L1" s="6" t="s">
        <v>7</v>
      </c>
      <c r="M1" s="11" t="s">
        <v>5</v>
      </c>
      <c r="N1" s="11" t="s">
        <v>6</v>
      </c>
      <c r="O1" s="11" t="s">
        <v>7</v>
      </c>
      <c r="P1" s="11" t="s">
        <v>9</v>
      </c>
    </row>
    <row r="2" spans="1:16" x14ac:dyDescent="0.25">
      <c r="A2" t="str">
        <f t="shared" ref="A2" si="0">LEFT(B2,5)</f>
        <v>28271</v>
      </c>
      <c r="B2" s="7" t="s">
        <v>3</v>
      </c>
      <c r="C2" t="s">
        <v>30</v>
      </c>
      <c r="D2" s="7"/>
      <c r="E2" s="9">
        <v>91.8</v>
      </c>
      <c r="F2" s="9">
        <v>29.8</v>
      </c>
      <c r="G2" s="9">
        <v>22.5</v>
      </c>
      <c r="H2" s="9">
        <v>17.399999999999999</v>
      </c>
      <c r="I2">
        <v>1</v>
      </c>
      <c r="J2" s="7">
        <v>91.8</v>
      </c>
      <c r="K2" s="7">
        <v>29.8</v>
      </c>
      <c r="L2" s="7">
        <v>22.5</v>
      </c>
      <c r="M2">
        <f t="shared" ref="M2" si="1">ROUNDUP(IF(I2&gt;1,E2,J2),0)</f>
        <v>92</v>
      </c>
      <c r="N2">
        <f t="shared" ref="N2" si="2">ROUNDUP(IF(I2&gt;1,F2,K2),0)</f>
        <v>30</v>
      </c>
      <c r="O2">
        <f t="shared" ref="O2" si="3">ROUNDUP(IF(I2&gt;1,G2,L2),0)</f>
        <v>23</v>
      </c>
      <c r="P2">
        <f t="shared" ref="P2" si="4">ROUNDUP(M2*N2*O2/1000,0)</f>
        <v>64</v>
      </c>
    </row>
  </sheetData>
  <autoFilter ref="A1:P2" xr:uid="{7254B8B3-CDD6-4310-BE37-BB73EB47224D}"/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54CF-25AD-4DB4-8A7D-509C43B0493D}">
  <sheetPr codeName="Лист3"/>
  <dimension ref="A1:E11"/>
  <sheetViews>
    <sheetView zoomScale="205" zoomScaleNormal="205" workbookViewId="0">
      <selection activeCell="C11" sqref="C11"/>
    </sheetView>
  </sheetViews>
  <sheetFormatPr defaultRowHeight="13.2" x14ac:dyDescent="0.25"/>
  <cols>
    <col min="1" max="1" width="11.44140625" bestFit="1" customWidth="1"/>
    <col min="2" max="2" width="5.6640625" bestFit="1" customWidth="1"/>
    <col min="5" max="5" width="8.6640625" bestFit="1" customWidth="1"/>
  </cols>
  <sheetData>
    <row r="1" spans="1:5" ht="42" thickBot="1" x14ac:dyDescent="0.3">
      <c r="A1" s="49"/>
      <c r="B1" s="50"/>
      <c r="C1" s="20" t="s">
        <v>11</v>
      </c>
      <c r="D1" s="21" t="s">
        <v>12</v>
      </c>
      <c r="E1" s="22" t="s">
        <v>13</v>
      </c>
    </row>
    <row r="2" spans="1:5" ht="14.4" thickTop="1" x14ac:dyDescent="0.25">
      <c r="A2" s="47" t="s">
        <v>16</v>
      </c>
      <c r="B2" s="23" t="s">
        <v>26</v>
      </c>
      <c r="C2" s="17">
        <v>43.5</v>
      </c>
      <c r="D2" s="17"/>
      <c r="E2" s="18">
        <v>0.4</v>
      </c>
    </row>
    <row r="3" spans="1:5" ht="14.4" thickBot="1" x14ac:dyDescent="0.3">
      <c r="A3" s="48"/>
      <c r="B3" s="24" t="s">
        <v>27</v>
      </c>
      <c r="C3" s="40">
        <v>10.15</v>
      </c>
      <c r="D3" s="40"/>
      <c r="E3" s="19">
        <v>4.3999999999999997E-2</v>
      </c>
    </row>
    <row r="4" spans="1:5" ht="13.8" thickTop="1" x14ac:dyDescent="0.25">
      <c r="A4" s="16"/>
    </row>
    <row r="5" spans="1:5" ht="13.8" x14ac:dyDescent="0.25">
      <c r="A5" s="30" t="s">
        <v>23</v>
      </c>
      <c r="B5" s="29">
        <v>1</v>
      </c>
    </row>
    <row r="11" spans="1:5" x14ac:dyDescent="0.25">
      <c r="C11" s="27"/>
    </row>
  </sheetData>
  <mergeCells count="2">
    <mergeCell ref="A2:A3"/>
    <mergeCell ref="A1:B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AF4E9-4FB3-4273-9263-1D827C25C553}">
  <sheetPr codeName="Лист5"/>
  <dimension ref="A1:H2"/>
  <sheetViews>
    <sheetView workbookViewId="0">
      <pane ySplit="1" topLeftCell="A2" activePane="bottomLeft" state="frozen"/>
      <selection pane="bottomLeft" activeCell="D2" sqref="D2"/>
    </sheetView>
  </sheetViews>
  <sheetFormatPr defaultColWidth="12.44140625" defaultRowHeight="15.6" x14ac:dyDescent="0.3"/>
  <cols>
    <col min="1" max="1" width="13.33203125" style="31" bestFit="1" customWidth="1"/>
    <col min="2" max="2" width="9.109375" style="32" bestFit="1" customWidth="1"/>
    <col min="3" max="3" width="11.33203125" style="35" bestFit="1" customWidth="1"/>
    <col min="4" max="5" width="9.5546875" style="33" bestFit="1" customWidth="1"/>
    <col min="6" max="6" width="9.5546875" style="34" bestFit="1" customWidth="1"/>
    <col min="7" max="7" width="32.6640625" style="44" bestFit="1" customWidth="1"/>
    <col min="8" max="8" width="11.109375" style="46" customWidth="1"/>
    <col min="9" max="16384" width="12.44140625" style="28"/>
  </cols>
  <sheetData>
    <row r="1" spans="1:7" ht="14.4" x14ac:dyDescent="0.3">
      <c r="A1" s="53" t="s">
        <v>25</v>
      </c>
      <c r="B1" s="54" t="s">
        <v>14</v>
      </c>
      <c r="C1" s="55" t="s">
        <v>15</v>
      </c>
      <c r="D1" s="56">
        <v>0.1</v>
      </c>
      <c r="E1" s="56">
        <v>0.2</v>
      </c>
      <c r="F1" s="56">
        <v>0.3</v>
      </c>
      <c r="G1" s="57" t="s">
        <v>28</v>
      </c>
    </row>
    <row r="2" spans="1:7" ht="14.4" x14ac:dyDescent="0.3">
      <c r="A2" t="str">
        <f t="shared" ref="A2" si="0">LEFT(B2,5)</f>
        <v>28271</v>
      </c>
      <c r="B2" t="s">
        <v>3</v>
      </c>
      <c r="C2">
        <v>6152</v>
      </c>
      <c r="D2">
        <f t="shared" ref="D2" si="1">IF(C2&lt;300,C2*1.2,C2*1.1)</f>
        <v>6767.2000000000007</v>
      </c>
      <c r="E2">
        <f t="shared" ref="E2" si="2">IF(C2&lt;300,C2*1.3,C2*1.2)</f>
        <v>7382.4</v>
      </c>
      <c r="F2">
        <f t="shared" ref="F2" si="3">IF(C2&lt;300,C2*1.4,C2*1.3)</f>
        <v>7997.6</v>
      </c>
      <c r="G2" t="str">
        <f>VLOOKUP(A2,ЦЕНООБРАЗОВАНИЕ!A:C,3,0)</f>
        <v>Бассейн каркасный Intex 260х160х65</v>
      </c>
    </row>
  </sheetData>
  <autoFilter ref="A1:G2" xr:uid="{9F2AF4E9-4FB3-4273-9263-1D827C25C55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ЦЕНООБРАЗОВАНИЕ</vt:lpstr>
      <vt:lpstr>Размеры</vt:lpstr>
      <vt:lpstr>Тарифы</vt:lpstr>
      <vt:lpstr>Прайс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Alexandr Gapich</cp:lastModifiedBy>
  <dcterms:created xsi:type="dcterms:W3CDTF">2023-03-07T23:03:08Z</dcterms:created>
  <dcterms:modified xsi:type="dcterms:W3CDTF">2024-07-12T10:34:11Z</dcterms:modified>
</cp:coreProperties>
</file>